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86d9fbe0b54c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ject Guide" sheetId="1" r:id="R44af7f025ce5464c"/>
    <x:sheet xmlns:r="http://schemas.openxmlformats.org/officeDocument/2006/relationships" name="Order Data" sheetId="2" r:id="Rb9ba78944b1646f4"/>
    <x:sheet xmlns:r="http://schemas.openxmlformats.org/officeDocument/2006/relationships" name="Analysis" sheetId="3" r:id="R4f37df6895e944b7"/>
    <x:sheet xmlns:r="http://schemas.openxmlformats.org/officeDocument/2006/relationships" name="Dashboard" sheetId="4" r:id="R6150d3e9dc554df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yyyy-mm-dd"/>
    <x:numFmt numFmtId="201" formatCode="£#,##0.00"/>
    <x:numFmt numFmtId="202" formatCode="0"/>
    <x:numFmt numFmtId="203" formatCode="#,##0"/>
    <x:numFmt numFmtId="204" formatCode="0.0%"/>
    <x:numFmt numFmtId="205" formatCode="£#,##0"/>
  </x:numFmts>
  <x:fonts count="12">
    <x:font>
      <x:sz val="11"/>
      <x:name val="Carlito"/>
    </x:font>
    <x:font>
      <x:b/>
      <x:sz val="18"/>
      <x:color rgb="FFFFFFFF"/>
      <x:name val="Carlito"/>
    </x:font>
    <x:font>
      <x:b/>
      <x:sz val="11"/>
      <x:color rgb="FF16324F"/>
      <x:name val="Carlito"/>
    </x:font>
    <x:font>
      <x:sz val="11"/>
      <x:color rgb="FF24324A"/>
      <x:name val="Carlito"/>
    </x:font>
    <x:font>
      <x:b/>
      <x:sz val="11"/>
      <x:color rgb="FFFFFFFF"/>
      <x:name val="Carlito"/>
    </x:font>
    <x:font>
      <x:sz val="11"/>
      <x:color rgb="FF14532D"/>
      <x:name val="Carlito"/>
    </x:font>
    <x:font>
      <x:b/>
      <x:sz val="10"/>
      <x:color rgb="FFFFFFFF"/>
      <x:name val="Aptos"/>
    </x:font>
    <x:font>
      <x:sz val="10"/>
      <x:name val="Aptos"/>
    </x:font>
    <x:font>
      <x:b/>
      <x:sz val="10"/>
      <x:color rgb="FFFFFFFF"/>
      <x:name val="Aptos Display"/>
    </x:font>
    <x:font>
      <x:b/>
      <x:sz val="10"/>
      <x:color rgb="FF16324F"/>
      <x:name val="Aptos"/>
    </x:font>
    <x:font>
      <x:b/>
      <x:sz val="18"/>
      <x:color rgb="FFFFFFFF"/>
      <x:name val="Aptos Display"/>
    </x:font>
    <x:font>
      <x:b/>
      <x:sz val="18"/>
      <x:color rgb="FF16324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EAF2FF"/>
      </x:patternFill>
    </x:fill>
    <x:fill>
      <x:patternFill patternType="solid">
        <x:fgColor rgb="FFFFFFFF"/>
      </x:patternFill>
    </x:fill>
    <x:fill>
      <x:patternFill patternType="solid">
        <x:fgColor rgb="FF138A5B"/>
      </x:patternFill>
    </x:fill>
    <x:fill>
      <x:patternFill patternType="solid">
        <x:fgColor rgb="FFECFDF3"/>
      </x:patternFill>
    </x:fill>
    <x:fill>
      <x:patternFill patternType="solid">
        <x:fgColor rgb="FF2563EB"/>
      </x:patternFill>
    </x:fill>
  </x:fills>
  <x:borders count="11">
    <x:border/>
    <x:border>
      <x:left style="thin">
        <x:color rgb="FFCFD8E3"/>
      </x:left>
      <x:top style="thin">
        <x:color rgb="FFCFD8E3"/>
      </x:top>
    </x:border>
    <x:border>
      <x:right style="thin">
        <x:color rgb="FFCFD8E3"/>
      </x:right>
      <x:top style="thin">
        <x:color rgb="FFCFD8E3"/>
      </x:top>
    </x:border>
    <x:border>
      <x:left style="thin">
        <x:color rgb="FFCFD8E3"/>
      </x:left>
    </x:border>
    <x:border>
      <x:right style="thin">
        <x:color rgb="FFCFD8E3"/>
      </x:right>
    </x:border>
    <x:border>
      <x:left style="thin">
        <x:color rgb="FFCFD8E3"/>
      </x:left>
      <x:bottom style="thin">
        <x:color rgb="FFCFD8E3"/>
      </x:bottom>
    </x:border>
    <x:border>
      <x:right style="thin">
        <x:color rgb="FFCFD8E3"/>
      </x:right>
      <x:bottom style="thin">
        <x:color rgb="FFCFD8E3"/>
      </x:bottom>
    </x:border>
    <x:border>
      <x:left style="thin">
        <x:color rgb="FFB9CCE5"/>
      </x:left>
      <x:top style="thin">
        <x:color rgb="FFB9CCE5"/>
      </x:top>
    </x:border>
    <x:border>
      <x:right style="thin">
        <x:color rgb="FFB9CCE5"/>
      </x:right>
      <x:top style="thin">
        <x:color rgb="FFB9CCE5"/>
      </x:top>
    </x:border>
    <x:border>
      <x:left style="thin">
        <x:color rgb="FFB9CCE5"/>
      </x:left>
      <x:bottom style="thin">
        <x:color rgb="FFB9CCE5"/>
      </x:bottom>
    </x:border>
    <x:border>
      <x:right style="thin">
        <x:color rgb="FFB9CCE5"/>
      </x:right>
      <x:bottom style="thin">
        <x:color rgb="FFB9CCE5"/>
      </x:bottom>
    </x:border>
  </x:borders>
  <x:cellStyleXfs count="1">
    <x:xf numFmtId="0" fontId="0" fillId="0" borderId="0"/>
  </x:cellStyleXfs>
  <x:cellXfs count="7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top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/>
    </x:xf>
    <x:xf numFmtId="0" fontId="3" fillId="4" borderId="2" xfId="0" applyNumberFormat="1" applyFont="1" applyFill="1" applyBorder="1" applyAlignment="1">
      <x:alignment vertical="top" wrapText="1"/>
    </x:xf>
    <x:xf numFmtId="0" fontId="2" fillId="3" borderId="3" xfId="0" applyNumberFormat="1" applyFont="1" applyFill="1" applyBorder="1" applyAlignment="1">
      <x:alignment vertical="top"/>
    </x:xf>
    <x:xf numFmtId="0" fontId="3" fillId="4" borderId="4" xfId="0" applyNumberFormat="1" applyFont="1" applyFill="1" applyBorder="1" applyAlignment="1">
      <x:alignment vertical="top" wrapText="1"/>
    </x:xf>
    <x:xf numFmtId="0" fontId="2" fillId="3" borderId="5" xfId="0" applyNumberFormat="1" applyFont="1" applyFill="1" applyBorder="1" applyAlignment="1">
      <x:alignment vertical="top"/>
    </x:xf>
    <x:xf numFmtId="0" fontId="3" fillId="4" borderId="6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6" fillId="2" borderId="0" xfId="0" applyNumberFormat="1" applyFont="1" applyFill="1" applyBorder="1" applyAlignment="1">
      <x:alignment horizontal="center" wrapText="1"/>
    </x:xf>
    <x:xf numFmtId="0" fontId="7" fillId="0" borderId="0" xfId="0" applyNumberFormat="1" applyFont="1" applyFill="1" applyBorder="1"/>
    <x:xf numFmtId="200" fontId="7" fillId="0" borderId="0" xfId="0" applyNumberFormat="1" applyFont="1" applyFill="1" applyBorder="1"/>
    <x:xf numFmtId="202" fontId="7" fillId="0" borderId="0" xfId="0" applyNumberFormat="1" applyFont="1" applyFill="1" applyBorder="1"/>
    <x:xf numFmtId="201" fontId="7" fillId="0" borderId="0" xfId="0" applyNumberFormat="1" applyFont="1" applyFill="1" applyBorder="1"/>
    <x:xf numFmtId="0" fontId="8" fillId="2" borderId="0" xfId="0" applyNumberFormat="1" applyFont="1" applyFill="1" applyBorder="1" applyAlignment="1">
      <x:alignment horizontal="center" wrapText="1"/>
    </x:xf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203" fontId="0" fillId="0" borderId="0" xfId="0" applyNumberFormat="1" applyFont="1" applyFill="1" applyBorder="1"/>
    <x:xf numFmtId="204" fontId="0" fillId="0" borderId="0" xfId="0" applyNumberFormat="1" applyFont="1" applyFill="1" applyBorder="1"/>
    <x:xf numFmtId="205" fontId="0" fillId="0" borderId="0" xfId="0" applyNumberFormat="1" applyFont="1" applyFill="1" applyBorder="1"/>
    <x:xf numFmtId="0" fontId="6" fillId="2" borderId="0" xfId="0" applyNumberFormat="1" applyFont="1" applyFill="1" applyBorder="1"/>
    <x:xf numFmtId="0" fontId="6" fillId="7" borderId="0" xfId="0" applyNumberFormat="1" applyFont="1" applyFill="1" applyBorder="1"/>
    <x:xf numFmtId="0" fontId="9" fillId="3" borderId="0" xfId="0" applyNumberFormat="1" applyFont="1" applyFill="1" applyBorder="1"/>
    <x:xf numFmtId="203" fontId="7" fillId="0" borderId="0" xfId="0" applyNumberFormat="1" applyFont="1" applyFill="1" applyBorder="1"/>
    <x:xf numFmtId="204" fontId="7" fillId="0" borderId="0" xfId="0" applyNumberFormat="1" applyFont="1" applyFill="1" applyBorder="1"/>
    <x:xf numFmtId="205" fontId="7" fillId="0" borderId="0" xfId="0" applyNumberFormat="1" applyFont="1" applyFill="1" applyBorder="1"/>
    <x:xf numFmtId="0" fontId="10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205" fontId="0" fillId="3" borderId="0" xfId="0" applyNumberFormat="1" applyFont="1" applyFill="1" applyBorder="1"/>
    <x:xf numFmtId="205" fontId="11" fillId="3" borderId="0" xfId="0" applyNumberFormat="1" applyFont="1" applyFill="1" applyBorder="1"/>
    <x:xf numFmtId="0" fontId="11" fillId="3" borderId="0" xfId="0" applyNumberFormat="1" applyFont="1" applyFill="1" applyBorder="1"/>
    <x:xf numFmtId="205" fontId="11" fillId="3" borderId="7" xfId="0" applyNumberFormat="1" applyFont="1" applyFill="1" applyBorder="1"/>
    <x:xf numFmtId="0" fontId="11" fillId="3" borderId="8" xfId="0" applyNumberFormat="1" applyFont="1" applyFill="1" applyBorder="1"/>
    <x:xf numFmtId="0" fontId="11" fillId="3" borderId="9" xfId="0" applyNumberFormat="1" applyFont="1" applyFill="1" applyBorder="1"/>
    <x:xf numFmtId="0" fontId="11" fillId="3" borderId="10" xfId="0" applyNumberFormat="1" applyFont="1" applyFill="1" applyBorder="1"/>
    <x:xf numFmtId="205" fontId="11" fillId="3" borderId="7" xfId="0" applyNumberFormat="1" applyFont="1" applyFill="1" applyBorder="1" applyAlignment="1">
      <x:alignment horizontal="center"/>
    </x:xf>
    <x:xf numFmtId="0" fontId="11" fillId="3" borderId="8" xfId="0" applyNumberFormat="1" applyFont="1" applyFill="1" applyBorder="1" applyAlignment="1">
      <x:alignment horizontal="center"/>
    </x:xf>
    <x:xf numFmtId="0" fontId="11" fillId="3" borderId="9" xfId="0" applyNumberFormat="1" applyFont="1" applyFill="1" applyBorder="1" applyAlignment="1">
      <x:alignment horizontal="center"/>
    </x:xf>
    <x:xf numFmtId="0" fontId="11" fillId="3" borderId="10" xfId="0" applyNumberFormat="1" applyFont="1" applyFill="1" applyBorder="1" applyAlignment="1">
      <x:alignment horizontal="center"/>
    </x:xf>
    <x:xf numFmtId="205" fontId="11" fillId="3" borderId="7" xfId="0" applyNumberFormat="1" applyFont="1" applyFill="1" applyBorder="1" applyAlignment="1">
      <x:alignment horizontal="center" vertical="center"/>
    </x:xf>
    <x:xf numFmtId="0" fontId="11" fillId="3" borderId="8" xfId="0" applyNumberFormat="1" applyFont="1" applyFill="1" applyBorder="1" applyAlignment="1">
      <x:alignment horizontal="center" vertical="center"/>
    </x:xf>
    <x:xf numFmtId="0" fontId="11" fillId="3" borderId="9" xfId="0" applyNumberFormat="1" applyFont="1" applyFill="1" applyBorder="1" applyAlignment="1">
      <x:alignment horizontal="center" vertical="center"/>
    </x:xf>
    <x:xf numFmtId="0" fontId="11" fillId="3" borderId="10" xfId="0" applyNumberFormat="1" applyFont="1" applyFill="1" applyBorder="1" applyAlignment="1">
      <x:alignment horizontal="center" vertical="center"/>
    </x:xf>
    <x:xf numFmtId="203" fontId="0" fillId="3" borderId="0" xfId="0" applyNumberFormat="1" applyFont="1" applyFill="1" applyBorder="1"/>
    <x:xf numFmtId="203" fontId="11" fillId="3" borderId="0" xfId="0" applyNumberFormat="1" applyFont="1" applyFill="1" applyBorder="1"/>
    <x:xf numFmtId="203" fontId="11" fillId="3" borderId="7" xfId="0" applyNumberFormat="1" applyFont="1" applyFill="1" applyBorder="1"/>
    <x:xf numFmtId="203" fontId="11" fillId="3" borderId="7" xfId="0" applyNumberFormat="1" applyFont="1" applyFill="1" applyBorder="1" applyAlignment="1">
      <x:alignment horizontal="center"/>
    </x:xf>
    <x:xf numFmtId="203" fontId="11" fillId="3" borderId="7" xfId="0" applyNumberFormat="1" applyFont="1" applyFill="1" applyBorder="1" applyAlignment="1">
      <x:alignment horizontal="center" vertical="center"/>
    </x:xf>
    <x:xf numFmtId="204" fontId="0" fillId="3" borderId="0" xfId="0" applyNumberFormat="1" applyFont="1" applyFill="1" applyBorder="1"/>
    <x:xf numFmtId="204" fontId="11" fillId="3" borderId="0" xfId="0" applyNumberFormat="1" applyFont="1" applyFill="1" applyBorder="1"/>
    <x:xf numFmtId="204" fontId="11" fillId="3" borderId="7" xfId="0" applyNumberFormat="1" applyFont="1" applyFill="1" applyBorder="1"/>
    <x:xf numFmtId="204" fontId="11" fillId="3" borderId="7" xfId="0" applyNumberFormat="1" applyFont="1" applyFill="1" applyBorder="1" applyAlignment="1">
      <x:alignment horizontal="center"/>
    </x:xf>
    <x:xf numFmtId="204" fontId="11" fillId="3" borderId="7" xfId="0" applyNumberFormat="1" applyFont="1" applyFill="1" applyBorder="1" applyAlignment="1">
      <x:alignment horizontal="center" vertical="center"/>
    </x:xf>
    <x:xf numFmtId="0" fontId="4" fillId="2" borderId="0" xfId="0" applyNumberFormat="1" applyFont="1" applyFill="1" applyBorder="1" applyAlignment="1">
      <x:alignment horizontal="center"/>
    </x:xf>
    <x:xf numFmtId="0" fontId="5" fillId="6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cf6b8ffff934f18" /><Relationship Type="http://schemas.openxmlformats.org/officeDocument/2006/relationships/theme" Target="/xl/theme/theme1.xml" Id="R93c860d70bc1460b" /><Relationship Type="http://schemas.openxmlformats.org/officeDocument/2006/relationships/sharedStrings" Target="/xl/sharedStrings.xml" Id="R38de4161177c499d" /><Relationship Type="http://schemas.openxmlformats.org/officeDocument/2006/relationships/worksheet" Target="/xl/worksheets/sheet1.xml" Id="R44af7f025ce5464c" /><Relationship Type="http://schemas.openxmlformats.org/officeDocument/2006/relationships/worksheet" Target="/xl/worksheets/sheet2.xml" Id="Rb9ba78944b1646f4" /><Relationship Type="http://schemas.openxmlformats.org/officeDocument/2006/relationships/worksheet" Target="/xl/worksheets/sheet3.xml" Id="R4f37df6895e944b7" /><Relationship Type="http://schemas.openxmlformats.org/officeDocument/2006/relationships/worksheet" Target="/xl/worksheets/sheet4.xml" Id="R6150d3e9dc554df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33a640f71de4a52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Monthly Revenue Trend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Revenue</c:v>
          </c:tx>
          <c:marker>
            <c:symbol val="none"/>
          </c:marker>
          <c:cat>
            <c:strRef>
              <c:f>'Analysis'!$A$20:$A$31</c:f>
              <c:strCache>
                <c:ptCount val="0"/>
              </c:strCache>
            </c:strRef>
          </c:cat>
          <c:val>
            <c:numRef>
              <c:f>'Analysis'!$B$20:$B$31</c:f>
              <c:numCache>
                <c:formatCode>£#,##0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7</xdr:row>
      <xdr:rowOff>0</xdr:rowOff>
    </xdr:from>
    <xdr:to>
      <xdr:col>12</xdr:col>
      <xdr:colOff>0</xdr:colOff>
      <xdr:row>14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33a640f71de4a52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RetailOrders" displayName="RetailOrders" ref="A1:O241" headerRowCount="1" totalsRowCount="0" totalsRowShown="0">
  <x:tableColumns count="15">
    <x:tableColumn id="1" name="Order ID"/>
    <x:tableColumn id="2" name="Order Date"/>
    <x:tableColumn id="3" name="Month"/>
    <x:tableColumn id="4" name="Region"/>
    <x:tableColumn id="5" name="Category"/>
    <x:tableColumn id="6" name="Sales Channel"/>
    <x:tableColumn id="7" name="Units"/>
    <x:tableColumn id="8" name="Unit Price"/>
    <x:tableColumn id="9" name="Revenue"/>
    <x:tableColumn id="10" name="Cost"/>
    <x:tableColumn id="11" name="Profit"/>
    <x:tableColumn id="12" name="Delivery Days"/>
    <x:tableColumn id="13" name="Delivery Status"/>
    <x:tableColumn id="14" name="Returned"/>
    <x:tableColumn id="15" name="Customer Rating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e0bcafaacf5475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331320c5d8b34b3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6" hidden="0" customWidth="1"/>
  </x:cols>
  <x:sheetData>
    <x:row r="1" ht="34" customHeight="1">
      <x:c r="A1" s="3" t="str">
        <x:v>Retail Operations Analytics Portfolio Project</x:v>
      </x:c>
      <x:c r="B1" s="3"/>
      <x:c r="C1" s="3"/>
      <x:c r="D1" s="3"/>
      <x:c r="E1" s="3"/>
      <x:c r="F1" s="3"/>
      <x:c r="G1" s="3"/>
      <x:c r="H1" s="3"/>
    </x:row>
    <x:row r="3">
      <x:c r="A3" s="11" t="str">
        <x:v>Business question</x:v>
      </x:c>
      <x:c r="B3" s="12" t="str">
        <x:v>How can a retail operations team improve sales, delivery performance and customer outcomes?</x:v>
      </x:c>
    </x:row>
    <x:row r="4">
      <x:c r="A4" s="13" t="str">
        <x:v>Your role</x:v>
      </x:c>
      <x:c r="B4" s="14" t="str">
        <x:v>Junior Data Analyst – portfolio simulation</x:v>
      </x:c>
    </x:row>
    <x:row r="5">
      <x:c r="A5" s="13" t="str">
        <x:v>Tools</x:v>
      </x:c>
      <x:c r="B5" s="14" t="str">
        <x:v>Excel now; SQL and Power BI in the next stages</x:v>
      </x:c>
    </x:row>
    <x:row r="6">
      <x:c r="A6" s="13" t="str">
        <x:v>Dataset</x:v>
      </x:c>
      <x:c r="B6" s="14" t="str">
        <x:v>Synthetic practice data created for learning; not Amazon or employer data</x:v>
      </x:c>
    </x:row>
    <x:row r="7">
      <x:c r="A7" s="13" t="str">
        <x:v>Key tasks</x:v>
      </x:c>
      <x:c r="B7" s="14" t="str">
        <x:v>Clean data, calculate KPIs, identify trends, compare regions and categories, recommend actions</x:v>
      </x:c>
    </x:row>
    <x:row r="8">
      <x:c r="A8" s="13" t="str">
        <x:v>Core KPIs</x:v>
      </x:c>
      <x:c r="B8" s="14" t="str">
        <x:v>Revenue, profit, orders, average order value, on-time delivery rate and return rate</x:v>
      </x:c>
    </x:row>
    <x:row r="9">
      <x:c r="A9" s="15" t="str">
        <x:v>How to use</x:v>
      </x:c>
      <x:c r="B9" s="16" t="str">
        <x:v>Review Order Data, audit formulas in Analysis, then interpret the Dashboard</x:v>
      </x:c>
    </x:row>
    <x:row r="11">
      <x:c r="A11" s="18" t="str">
        <x:v>Portfolio talking point</x:v>
      </x:c>
      <x:c r="B11" s="18"/>
      <x:c r="C11" s="18"/>
      <x:c r="D11" s="18"/>
      <x:c r="E11" s="18"/>
      <x:c r="F11" s="18"/>
      <x:c r="G11" s="18"/>
      <x:c r="H11" s="18"/>
    </x:row>
    <x:row r="12">
      <x:c r="A12" s="22" t="str">
        <x:v>I built an end-to-end retail operations analysis using a structured order dataset. I cleaned and validated the data, created formula-driven KPIs, compared performance across months, regions and product categories, and translated the findings into practical operational recommendations.</x:v>
      </x:c>
      <x:c r="B12" s="22"/>
      <x:c r="C12" s="22"/>
      <x:c r="D12" s="22"/>
      <x:c r="E12" s="22"/>
      <x:c r="F12" s="22"/>
      <x:c r="G12" s="22"/>
      <x:c r="H12" s="22"/>
    </x:row>
    <x:row r="13">
      <x:c r="A13" s="22"/>
      <x:c r="B13" s="22"/>
      <x:c r="C13" s="22"/>
      <x:c r="D13" s="22"/>
      <x:c r="E13" s="22"/>
      <x:c r="F13" s="22"/>
      <x:c r="G13" s="22"/>
      <x:c r="H13" s="22"/>
    </x:row>
    <x:row r="14">
      <x:c r="A14" s="22"/>
      <x:c r="B14" s="22"/>
      <x:c r="C14" s="22"/>
      <x:c r="D14" s="22"/>
      <x:c r="E14" s="22"/>
      <x:c r="F14" s="22"/>
      <x:c r="G14" s="22"/>
      <x:c r="H14" s="22"/>
    </x:row>
  </x:sheetData>
  <x:mergeCells>
    <x:mergeCell ref="A1:H1"/>
    <x:mergeCell ref="A11:H11"/>
    <x:mergeCell ref="A12:H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3" hidden="0" customWidth="1"/>
    <x:col min="3" max="3" width="9" hidden="0" customWidth="1"/>
    <x:col min="4" max="4" width="18" hidden="0" customWidth="1"/>
    <x:col min="5" max="5" width="20" hidden="0" customWidth="1"/>
    <x:col min="6" max="6" width="16" hidden="0" customWidth="1"/>
    <x:col min="7" max="7" width="8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3" hidden="0" customWidth="1"/>
    <x:col min="13" max="13" width="16" hidden="0" customWidth="1"/>
    <x:col min="14" max="14" width="10" hidden="0" customWidth="1"/>
    <x:col min="15" max="15" width="15" hidden="0" customWidth="1"/>
  </x:cols>
  <x:sheetData>
    <x:row r="1">
      <x:c r="A1" s="34" t="str">
        <x:v>Order ID</x:v>
      </x:c>
      <x:c r="B1" s="34" t="str">
        <x:v>Order Date</x:v>
      </x:c>
      <x:c r="C1" s="34" t="str">
        <x:v>Month</x:v>
      </x:c>
      <x:c r="D1" s="34" t="str">
        <x:v>Region</x:v>
      </x:c>
      <x:c r="E1" s="34" t="str">
        <x:v>Category</x:v>
      </x:c>
      <x:c r="F1" s="34" t="str">
        <x:v>Sales Channel</x:v>
      </x:c>
      <x:c r="G1" s="34" t="str">
        <x:v>Units</x:v>
      </x:c>
      <x:c r="H1" s="34" t="str">
        <x:v>Unit Price</x:v>
      </x:c>
      <x:c r="I1" s="34" t="str">
        <x:v>Revenue</x:v>
      </x:c>
      <x:c r="J1" s="34" t="str">
        <x:v>Cost</x:v>
      </x:c>
      <x:c r="K1" s="34" t="str">
        <x:v>Profit</x:v>
      </x:c>
      <x:c r="L1" s="34" t="str">
        <x:v>Delivery Days</x:v>
      </x:c>
      <x:c r="M1" s="34" t="str">
        <x:v>Delivery Status</x:v>
      </x:c>
      <x:c r="N1" s="34" t="str">
        <x:v>Returned</x:v>
      </x:c>
      <x:c r="O1" s="34" t="str">
        <x:v>Customer Rating</x:v>
      </x:c>
    </x:row>
    <x:row r="2">
      <x:c r="A2" s="30" t="str">
        <x:v>ORD-0001</x:v>
      </x:c>
      <x:c r="B2" s="31" t="n">
        <x:v>45659</x:v>
      </x:c>
      <x:c r="C2" s="30" t="str">
        <x:v>Jan</x:v>
      </x:c>
      <x:c r="D2" s="30" t="str">
        <x:v>East Midlands</x:v>
      </x:c>
      <x:c r="E2" s="30" t="str">
        <x:v>Electronics</x:v>
      </x:c>
      <x:c r="F2" s="30" t="str">
        <x:v>Online</x:v>
      </x:c>
      <x:c r="G2" s="32" t="n">
        <x:v>1</x:v>
      </x:c>
      <x:c r="H2" s="33" t="n">
        <x:v>72</x:v>
      </x:c>
      <x:c r="I2" s="33" t="n">
        <x:v>72</x:v>
      </x:c>
      <x:c r="J2" s="33" t="n">
        <x:v>56.16</x:v>
      </x:c>
      <x:c r="K2" s="33" t="n">
        <x:v>15.84</x:v>
      </x:c>
      <x:c r="L2" s="32" t="n">
        <x:v>1</x:v>
      </x:c>
      <x:c r="M2" s="32" t="str">
        <x:v>On Time</x:v>
      </x:c>
      <x:c r="N2" s="32" t="str">
        <x:v>Yes</x:v>
      </x:c>
      <x:c r="O2" s="32" t="n">
        <x:v>2</x:v>
      </x:c>
    </x:row>
    <x:row r="3">
      <x:c r="A3" s="30" t="str">
        <x:v>ORD-0002</x:v>
      </x:c>
      <x:c r="B3" s="31" t="n">
        <x:v>45697</x:v>
      </x:c>
      <x:c r="C3" s="30" t="str">
        <x:v>Feb</x:v>
      </x:c>
      <x:c r="D3" s="30" t="str">
        <x:v>North West</x:v>
      </x:c>
      <x:c r="E3" s="30" t="str">
        <x:v>Home &amp; Kitchen</x:v>
      </x:c>
      <x:c r="F3" s="30" t="str">
        <x:v>Store</x:v>
      </x:c>
      <x:c r="G3" s="32" t="n">
        <x:v>8</x:v>
      </x:c>
      <x:c r="H3" s="33" t="n">
        <x:v>49</x:v>
      </x:c>
      <x:c r="I3" s="33" t="n">
        <x:v>392</x:v>
      </x:c>
      <x:c r="J3" s="33" t="n">
        <x:v>270.48</x:v>
      </x:c>
      <x:c r="K3" s="33" t="n">
        <x:v>121.52</x:v>
      </x:c>
      <x:c r="L3" s="32" t="n">
        <x:v>6</x:v>
      </x:c>
      <x:c r="M3" s="32" t="str">
        <x:v>Late</x:v>
      </x:c>
      <x:c r="N3" s="32" t="str">
        <x:v>No</x:v>
      </x:c>
      <x:c r="O3" s="32" t="n">
        <x:v>4</x:v>
      </x:c>
    </x:row>
    <x:row r="4">
      <x:c r="A4" s="30" t="str">
        <x:v>ORD-0003</x:v>
      </x:c>
      <x:c r="B4" s="31" t="n">
        <x:v>45732</x:v>
      </x:c>
      <x:c r="C4" s="30" t="str">
        <x:v>Mar</x:v>
      </x:c>
      <x:c r="D4" s="30" t="str">
        <x:v>London</x:v>
      </x:c>
      <x:c r="E4" s="30" t="str">
        <x:v>Office Supplies</x:v>
      </x:c>
      <x:c r="F4" s="30" t="str">
        <x:v>Marketplace</x:v>
      </x:c>
      <x:c r="G4" s="32" t="n">
        <x:v>7</x:v>
      </x:c>
      <x:c r="H4" s="33" t="n">
        <x:v>40</x:v>
      </x:c>
      <x:c r="I4" s="33" t="n">
        <x:v>280</x:v>
      </x:c>
      <x:c r="J4" s="33" t="n">
        <x:v>173.6</x:v>
      </x:c>
      <x:c r="K4" s="33" t="n">
        <x:v>106.4</x:v>
      </x:c>
      <x:c r="L4" s="32" t="n">
        <x:v>3</x:v>
      </x:c>
      <x:c r="M4" s="32" t="str">
        <x:v>On Time</x:v>
      </x:c>
      <x:c r="N4" s="32" t="str">
        <x:v>No</x:v>
      </x:c>
      <x:c r="O4" s="32" t="n">
        <x:v>4</x:v>
      </x:c>
    </x:row>
    <x:row r="5">
      <x:c r="A5" s="30" t="str">
        <x:v>ORD-0004</x:v>
      </x:c>
      <x:c r="B5" s="31" t="n">
        <x:v>45770</x:v>
      </x:c>
      <x:c r="C5" s="30" t="str">
        <x:v>Apr</x:v>
      </x:c>
      <x:c r="D5" s="30" t="str">
        <x:v>West Midlands</x:v>
      </x:c>
      <x:c r="E5" s="30" t="str">
        <x:v>Sports</x:v>
      </x:c>
      <x:c r="F5" s="30" t="str">
        <x:v>Online</x:v>
      </x:c>
      <x:c r="G5" s="32" t="n">
        <x:v>6</x:v>
      </x:c>
      <x:c r="H5" s="33" t="n">
        <x:v>46</x:v>
      </x:c>
      <x:c r="I5" s="33" t="n">
        <x:v>276</x:v>
      </x:c>
      <x:c r="J5" s="33" t="n">
        <x:v>195.96</x:v>
      </x:c>
      <x:c r="K5" s="33" t="n">
        <x:v>80.04</x:v>
      </x:c>
      <x:c r="L5" s="32" t="n">
        <x:v>8</x:v>
      </x:c>
      <x:c r="M5" s="32" t="str">
        <x:v>Late</x:v>
      </x:c>
      <x:c r="N5" s="32" t="str">
        <x:v>No</x:v>
      </x:c>
      <x:c r="O5" s="32" t="n">
        <x:v>4</x:v>
      </x:c>
    </x:row>
    <x:row r="6">
      <x:c r="A6" s="30" t="str">
        <x:v>ORD-0005</x:v>
      </x:c>
      <x:c r="B6" s="31" t="n">
        <x:v>45781</x:v>
      </x:c>
      <x:c r="C6" s="30" t="str">
        <x:v>May</x:v>
      </x:c>
      <x:c r="D6" s="30" t="str">
        <x:v>East Midlands</x:v>
      </x:c>
      <x:c r="E6" s="30" t="str">
        <x:v>Electronics</x:v>
      </x:c>
      <x:c r="F6" s="30" t="str">
        <x:v>Store</x:v>
      </x:c>
      <x:c r="G6" s="32" t="n">
        <x:v>5</x:v>
      </x:c>
      <x:c r="H6" s="33" t="n">
        <x:v>85</x:v>
      </x:c>
      <x:c r="I6" s="33" t="n">
        <x:v>425</x:v>
      </x:c>
      <x:c r="J6" s="33" t="n">
        <x:v>331.5</x:v>
      </x:c>
      <x:c r="K6" s="33" t="n">
        <x:v>93.5</x:v>
      </x:c>
      <x:c r="L6" s="32" t="n">
        <x:v>5</x:v>
      </x:c>
      <x:c r="M6" s="32" t="str">
        <x:v>Late</x:v>
      </x:c>
      <x:c r="N6" s="32" t="str">
        <x:v>No</x:v>
      </x:c>
      <x:c r="O6" s="32" t="n">
        <x:v>3</x:v>
      </x:c>
    </x:row>
    <x:row r="7">
      <x:c r="A7" s="30" t="str">
        <x:v>ORD-0006</x:v>
      </x:c>
      <x:c r="B7" s="31" t="n">
        <x:v>45819</x:v>
      </x:c>
      <x:c r="C7" s="30" t="str">
        <x:v>Jun</x:v>
      </x:c>
      <x:c r="D7" s="30" t="str">
        <x:v>North West</x:v>
      </x:c>
      <x:c r="E7" s="30" t="str">
        <x:v>Home &amp; Kitchen</x:v>
      </x:c>
      <x:c r="F7" s="30" t="str">
        <x:v>Marketplace</x:v>
      </x:c>
      <x:c r="G7" s="32" t="n">
        <x:v>4</x:v>
      </x:c>
      <x:c r="H7" s="33" t="n">
        <x:v>62</x:v>
      </x:c>
      <x:c r="I7" s="33" t="n">
        <x:v>248</x:v>
      </x:c>
      <x:c r="J7" s="33" t="n">
        <x:v>171.12</x:v>
      </x:c>
      <x:c r="K7" s="33" t="n">
        <x:v>76.88</x:v>
      </x:c>
      <x:c r="L7" s="32" t="n">
        <x:v>2</x:v>
      </x:c>
      <x:c r="M7" s="32" t="str">
        <x:v>On Time</x:v>
      </x:c>
      <x:c r="N7" s="32" t="str">
        <x:v>No</x:v>
      </x:c>
      <x:c r="O7" s="32" t="n">
        <x:v>5</x:v>
      </x:c>
    </x:row>
    <x:row r="8">
      <x:c r="A8" s="30" t="str">
        <x:v>ORD-0007</x:v>
      </x:c>
      <x:c r="B8" s="31" t="n">
        <x:v>45856</x:v>
      </x:c>
      <x:c r="C8" s="30" t="str">
        <x:v>Jul</x:v>
      </x:c>
      <x:c r="D8" s="30" t="str">
        <x:v>London</x:v>
      </x:c>
      <x:c r="E8" s="30" t="str">
        <x:v>Office Supplies</x:v>
      </x:c>
      <x:c r="F8" s="30" t="str">
        <x:v>Online</x:v>
      </x:c>
      <x:c r="G8" s="32" t="n">
        <x:v>3</x:v>
      </x:c>
      <x:c r="H8" s="33" t="n">
        <x:v>22</x:v>
      </x:c>
      <x:c r="I8" s="33" t="n">
        <x:v>66</x:v>
      </x:c>
      <x:c r="J8" s="33" t="n">
        <x:v>40.92</x:v>
      </x:c>
      <x:c r="K8" s="33" t="n">
        <x:v>25.08</x:v>
      </x:c>
      <x:c r="L8" s="32" t="n">
        <x:v>7</x:v>
      </x:c>
      <x:c r="M8" s="32" t="str">
        <x:v>Late</x:v>
      </x:c>
      <x:c r="N8" s="32" t="str">
        <x:v>No</x:v>
      </x:c>
      <x:c r="O8" s="32" t="n">
        <x:v>3</x:v>
      </x:c>
    </x:row>
    <x:row r="9">
      <x:c r="A9" s="30" t="str">
        <x:v>ORD-0008</x:v>
      </x:c>
      <x:c r="B9" s="31" t="n">
        <x:v>45894</x:v>
      </x:c>
      <x:c r="C9" s="30" t="str">
        <x:v>Aug</x:v>
      </x:c>
      <x:c r="D9" s="30" t="str">
        <x:v>West Midlands</x:v>
      </x:c>
      <x:c r="E9" s="30" t="str">
        <x:v>Sports</x:v>
      </x:c>
      <x:c r="F9" s="30" t="str">
        <x:v>Store</x:v>
      </x:c>
      <x:c r="G9" s="32" t="n">
        <x:v>2</x:v>
      </x:c>
      <x:c r="H9" s="33" t="n">
        <x:v>59</x:v>
      </x:c>
      <x:c r="I9" s="33" t="n">
        <x:v>118</x:v>
      </x:c>
      <x:c r="J9" s="33" t="n">
        <x:v>83.78</x:v>
      </x:c>
      <x:c r="K9" s="33" t="n">
        <x:v>34.22</x:v>
      </x:c>
      <x:c r="L9" s="32" t="n">
        <x:v>4</x:v>
      </x:c>
      <x:c r="M9" s="32" t="str">
        <x:v>On Time</x:v>
      </x:c>
      <x:c r="N9" s="32" t="str">
        <x:v>No</x:v>
      </x:c>
      <x:c r="O9" s="32" t="n">
        <x:v>5</x:v>
      </x:c>
    </x:row>
    <x:row r="10">
      <x:c r="A10" s="30" t="str">
        <x:v>ORD-0009</x:v>
      </x:c>
      <x:c r="B10" s="31" t="n">
        <x:v>45906</x:v>
      </x:c>
      <x:c r="C10" s="30" t="str">
        <x:v>Sep</x:v>
      </x:c>
      <x:c r="D10" s="30" t="str">
        <x:v>East Midlands</x:v>
      </x:c>
      <x:c r="E10" s="30" t="str">
        <x:v>Home &amp; Kitchen</x:v>
      </x:c>
      <x:c r="F10" s="30" t="str">
        <x:v>Marketplace</x:v>
      </x:c>
      <x:c r="G10" s="32" t="n">
        <x:v>1</x:v>
      </x:c>
      <x:c r="H10" s="33" t="n">
        <x:v>64</x:v>
      </x:c>
      <x:c r="I10" s="33" t="n">
        <x:v>64</x:v>
      </x:c>
      <x:c r="J10" s="33" t="n">
        <x:v>44.16</x:v>
      </x:c>
      <x:c r="K10" s="33" t="n">
        <x:v>19.84</x:v>
      </x:c>
      <x:c r="L10" s="32" t="n">
        <x:v>1</x:v>
      </x:c>
      <x:c r="M10" s="32" t="str">
        <x:v>On Time</x:v>
      </x:c>
      <x:c r="N10" s="32" t="str">
        <x:v>No</x:v>
      </x:c>
      <x:c r="O10" s="32" t="n">
        <x:v>4</x:v>
      </x:c>
    </x:row>
    <x:row r="11">
      <x:c r="A11" s="30" t="str">
        <x:v>ORD-0010</x:v>
      </x:c>
      <x:c r="B11" s="31" t="n">
        <x:v>45943</x:v>
      </x:c>
      <x:c r="C11" s="30" t="str">
        <x:v>Oct</x:v>
      </x:c>
      <x:c r="D11" s="30" t="str">
        <x:v>North West</x:v>
      </x:c>
      <x:c r="E11" s="30" t="str">
        <x:v>Office Supplies</x:v>
      </x:c>
      <x:c r="F11" s="30" t="str">
        <x:v>Online</x:v>
      </x:c>
      <x:c r="G11" s="32" t="n">
        <x:v>8</x:v>
      </x:c>
      <x:c r="H11" s="33" t="n">
        <x:v>24</x:v>
      </x:c>
      <x:c r="I11" s="33" t="n">
        <x:v>192</x:v>
      </x:c>
      <x:c r="J11" s="33" t="n">
        <x:v>119.04</x:v>
      </x:c>
      <x:c r="K11" s="33" t="n">
        <x:v>72.96</x:v>
      </x:c>
      <x:c r="L11" s="32" t="n">
        <x:v>7</x:v>
      </x:c>
      <x:c r="M11" s="32" t="str">
        <x:v>Late</x:v>
      </x:c>
      <x:c r="N11" s="32" t="str">
        <x:v>No</x:v>
      </x:c>
      <x:c r="O11" s="32" t="n">
        <x:v>4</x:v>
      </x:c>
    </x:row>
    <x:row r="12">
      <x:c r="A12" s="30" t="str">
        <x:v>ORD-0011</x:v>
      </x:c>
      <x:c r="B12" s="31" t="n">
        <x:v>45981</x:v>
      </x:c>
      <x:c r="C12" s="30" t="str">
        <x:v>Nov</x:v>
      </x:c>
      <x:c r="D12" s="30" t="str">
        <x:v>London</x:v>
      </x:c>
      <x:c r="E12" s="30" t="str">
        <x:v>Sports</x:v>
      </x:c>
      <x:c r="F12" s="30" t="str">
        <x:v>Online</x:v>
      </x:c>
      <x:c r="G12" s="32" t="n">
        <x:v>7</x:v>
      </x:c>
      <x:c r="H12" s="33" t="n">
        <x:v>61</x:v>
      </x:c>
      <x:c r="I12" s="33" t="n">
        <x:v>427</x:v>
      </x:c>
      <x:c r="J12" s="33" t="n">
        <x:v>303.17</x:v>
      </x:c>
      <x:c r="K12" s="33" t="n">
        <x:v>123.83</x:v>
      </x:c>
      <x:c r="L12" s="32" t="n">
        <x:v>4</x:v>
      </x:c>
      <x:c r="M12" s="32" t="str">
        <x:v>On Time</x:v>
      </x:c>
      <x:c r="N12" s="32" t="str">
        <x:v>No</x:v>
      </x:c>
      <x:c r="O12" s="32" t="n">
        <x:v>4</x:v>
      </x:c>
    </x:row>
    <x:row r="13">
      <x:c r="A13" s="30" t="str">
        <x:v>ORD-0012</x:v>
      </x:c>
      <x:c r="B13" s="31" t="n">
        <x:v>46018</x:v>
      </x:c>
      <x:c r="C13" s="30" t="str">
        <x:v>Dec</x:v>
      </x:c>
      <x:c r="D13" s="30" t="str">
        <x:v>West Midlands</x:v>
      </x:c>
      <x:c r="E13" s="30" t="str">
        <x:v>Electronics</x:v>
      </x:c>
      <x:c r="F13" s="30" t="str">
        <x:v>Store</x:v>
      </x:c>
      <x:c r="G13" s="32" t="n">
        <x:v>6</x:v>
      </x:c>
      <x:c r="H13" s="33" t="n">
        <x:v>100</x:v>
      </x:c>
      <x:c r="I13" s="33" t="n">
        <x:v>600</x:v>
      </x:c>
      <x:c r="J13" s="33" t="n">
        <x:v>468</x:v>
      </x:c>
      <x:c r="K13" s="33" t="n">
        <x:v>132</x:v>
      </x:c>
      <x:c r="L13" s="32" t="n">
        <x:v>1</x:v>
      </x:c>
      <x:c r="M13" s="32" t="str">
        <x:v>On Time</x:v>
      </x:c>
      <x:c r="N13" s="32" t="str">
        <x:v>No</x:v>
      </x:c>
      <x:c r="O13" s="32" t="n">
        <x:v>5</x:v>
      </x:c>
    </x:row>
    <x:row r="14">
      <x:c r="A14" s="30" t="str">
        <x:v>ORD-0013</x:v>
      </x:c>
      <x:c r="B14" s="31" t="n">
        <x:v>45665</x:v>
      </x:c>
      <x:c r="C14" s="30" t="str">
        <x:v>Jan</x:v>
      </x:c>
      <x:c r="D14" s="30" t="str">
        <x:v>West Midlands</x:v>
      </x:c>
      <x:c r="E14" s="30" t="str">
        <x:v>Home &amp; Kitchen</x:v>
      </x:c>
      <x:c r="F14" s="30" t="str">
        <x:v>Marketplace</x:v>
      </x:c>
      <x:c r="G14" s="32" t="n">
        <x:v>5</x:v>
      </x:c>
      <x:c r="H14" s="33" t="n">
        <x:v>46</x:v>
      </x:c>
      <x:c r="I14" s="33" t="n">
        <x:v>230</x:v>
      </x:c>
      <x:c r="J14" s="33" t="n">
        <x:v>158.7</x:v>
      </x:c>
      <x:c r="K14" s="33" t="n">
        <x:v>71.3</x:v>
      </x:c>
      <x:c r="L14" s="32" t="n">
        <x:v>6</x:v>
      </x:c>
      <x:c r="M14" s="32" t="str">
        <x:v>Late</x:v>
      </x:c>
      <x:c r="N14" s="32" t="str">
        <x:v>No</x:v>
      </x:c>
      <x:c r="O14" s="32" t="n">
        <x:v>3</x:v>
      </x:c>
    </x:row>
    <x:row r="15">
      <x:c r="A15" s="30" t="str">
        <x:v>ORD-0014</x:v>
      </x:c>
      <x:c r="B15" s="31" t="n">
        <x:v>45703</x:v>
      </x:c>
      <x:c r="C15" s="30" t="str">
        <x:v>Feb</x:v>
      </x:c>
      <x:c r="D15" s="30" t="str">
        <x:v>East Midlands</x:v>
      </x:c>
      <x:c r="E15" s="30" t="str">
        <x:v>Office Supplies</x:v>
      </x:c>
      <x:c r="F15" s="30" t="str">
        <x:v>Online</x:v>
      </x:c>
      <x:c r="G15" s="32" t="n">
        <x:v>4</x:v>
      </x:c>
      <x:c r="H15" s="33" t="n">
        <x:v>37</x:v>
      </x:c>
      <x:c r="I15" s="33" t="n">
        <x:v>148</x:v>
      </x:c>
      <x:c r="J15" s="33" t="n">
        <x:v>91.76</x:v>
      </x:c>
      <x:c r="K15" s="33" t="n">
        <x:v>56.24</x:v>
      </x:c>
      <x:c r="L15" s="32" t="n">
        <x:v>3</x:v>
      </x:c>
      <x:c r="M15" s="32" t="str">
        <x:v>On Time</x:v>
      </x:c>
      <x:c r="N15" s="32" t="str">
        <x:v>No</x:v>
      </x:c>
      <x:c r="O15" s="32" t="n">
        <x:v>5</x:v>
      </x:c>
    </x:row>
    <x:row r="16">
      <x:c r="A16" s="30" t="str">
        <x:v>ORD-0015</x:v>
      </x:c>
      <x:c r="B16" s="31" t="n">
        <x:v>45738</x:v>
      </x:c>
      <x:c r="C16" s="30" t="str">
        <x:v>Mar</x:v>
      </x:c>
      <x:c r="D16" s="30" t="str">
        <x:v>North West</x:v>
      </x:c>
      <x:c r="E16" s="30" t="str">
        <x:v>Sports</x:v>
      </x:c>
      <x:c r="F16" s="30" t="str">
        <x:v>Store</x:v>
      </x:c>
      <x:c r="G16" s="32" t="n">
        <x:v>3</x:v>
      </x:c>
      <x:c r="H16" s="33" t="n">
        <x:v>74</x:v>
      </x:c>
      <x:c r="I16" s="33" t="n">
        <x:v>222</x:v>
      </x:c>
      <x:c r="J16" s="33" t="n">
        <x:v>157.62</x:v>
      </x:c>
      <x:c r="K16" s="33" t="n">
        <x:v>64.38</x:v>
      </x:c>
      <x:c r="L16" s="32" t="n">
        <x:v>8</x:v>
      </x:c>
      <x:c r="M16" s="32" t="str">
        <x:v>Late</x:v>
      </x:c>
      <x:c r="N16" s="32" t="str">
        <x:v>No</x:v>
      </x:c>
      <x:c r="O16" s="32" t="n">
        <x:v>3</x:v>
      </x:c>
    </x:row>
    <x:row r="17">
      <x:c r="A17" s="30" t="str">
        <x:v>ORD-0016</x:v>
      </x:c>
      <x:c r="B17" s="31" t="n">
        <x:v>45750</x:v>
      </x:c>
      <x:c r="C17" s="30" t="str">
        <x:v>Apr</x:v>
      </x:c>
      <x:c r="D17" s="30" t="str">
        <x:v>London</x:v>
      </x:c>
      <x:c r="E17" s="30" t="str">
        <x:v>Electronics</x:v>
      </x:c>
      <x:c r="F17" s="30" t="str">
        <x:v>Marketplace</x:v>
      </x:c>
      <x:c r="G17" s="32" t="n">
        <x:v>2</x:v>
      </x:c>
      <x:c r="H17" s="33" t="n">
        <x:v>82</x:v>
      </x:c>
      <x:c r="I17" s="33" t="n">
        <x:v>164</x:v>
      </x:c>
      <x:c r="J17" s="33" t="n">
        <x:v>127.92</x:v>
      </x:c>
      <x:c r="K17" s="33" t="n">
        <x:v>36.08</x:v>
      </x:c>
      <x:c r="L17" s="32" t="n">
        <x:v>5</x:v>
      </x:c>
      <x:c r="M17" s="32" t="str">
        <x:v>Late</x:v>
      </x:c>
      <x:c r="N17" s="32" t="str">
        <x:v>No</x:v>
      </x:c>
      <x:c r="O17" s="32" t="n">
        <x:v>4</x:v>
      </x:c>
    </x:row>
    <x:row r="18">
      <x:c r="A18" s="30" t="str">
        <x:v>ORD-0017</x:v>
      </x:c>
      <x:c r="B18" s="31" t="n">
        <x:v>45787</x:v>
      </x:c>
      <x:c r="C18" s="30" t="str">
        <x:v>May</x:v>
      </x:c>
      <x:c r="D18" s="30" t="str">
        <x:v>West Midlands</x:v>
      </x:c>
      <x:c r="E18" s="30" t="str">
        <x:v>Office Supplies</x:v>
      </x:c>
      <x:c r="F18" s="30" t="str">
        <x:v>Online</x:v>
      </x:c>
      <x:c r="G18" s="32" t="n">
        <x:v>1</x:v>
      </x:c>
      <x:c r="H18" s="33" t="n">
        <x:v>39</x:v>
      </x:c>
      <x:c r="I18" s="33" t="n">
        <x:v>39</x:v>
      </x:c>
      <x:c r="J18" s="33" t="n">
        <x:v>24.18</x:v>
      </x:c>
      <x:c r="K18" s="33" t="n">
        <x:v>14.82</x:v>
      </x:c>
      <x:c r="L18" s="32" t="n">
        <x:v>2</x:v>
      </x:c>
      <x:c r="M18" s="32" t="str">
        <x:v>On Time</x:v>
      </x:c>
      <x:c r="N18" s="32" t="str">
        <x:v>No</x:v>
      </x:c>
      <x:c r="O18" s="32" t="n">
        <x:v>4</x:v>
      </x:c>
    </x:row>
    <x:row r="19">
      <x:c r="A19" s="30" t="str">
        <x:v>ORD-0018</x:v>
      </x:c>
      <x:c r="B19" s="31" t="n">
        <x:v>45825</x:v>
      </x:c>
      <x:c r="C19" s="30" t="str">
        <x:v>Jun</x:v>
      </x:c>
      <x:c r="D19" s="30" t="str">
        <x:v>East Midlands</x:v>
      </x:c>
      <x:c r="E19" s="30" t="str">
        <x:v>Sports</x:v>
      </x:c>
      <x:c r="F19" s="30" t="str">
        <x:v>Store</x:v>
      </x:c>
      <x:c r="G19" s="32" t="n">
        <x:v>8</x:v>
      </x:c>
      <x:c r="H19" s="33" t="n">
        <x:v>45</x:v>
      </x:c>
      <x:c r="I19" s="33" t="n">
        <x:v>360</x:v>
      </x:c>
      <x:c r="J19" s="33" t="n">
        <x:v>255.6</x:v>
      </x:c>
      <x:c r="K19" s="33" t="n">
        <x:v>104.4</x:v>
      </x:c>
      <x:c r="L19" s="32" t="n">
        <x:v>7</x:v>
      </x:c>
      <x:c r="M19" s="32" t="str">
        <x:v>Late</x:v>
      </x:c>
      <x:c r="N19" s="32" t="str">
        <x:v>Yes</x:v>
      </x:c>
      <x:c r="O19" s="32" t="n">
        <x:v>3</x:v>
      </x:c>
    </x:row>
    <x:row r="20">
      <x:c r="A20" s="30" t="str">
        <x:v>ORD-0019</x:v>
      </x:c>
      <x:c r="B20" s="31" t="n">
        <x:v>45862</x:v>
      </x:c>
      <x:c r="C20" s="30" t="str">
        <x:v>Jul</x:v>
      </x:c>
      <x:c r="D20" s="30" t="str">
        <x:v>North West</x:v>
      </x:c>
      <x:c r="E20" s="30" t="str">
        <x:v>Electronics</x:v>
      </x:c>
      <x:c r="F20" s="30" t="str">
        <x:v>Marketplace</x:v>
      </x:c>
      <x:c r="G20" s="32" t="n">
        <x:v>7</x:v>
      </x:c>
      <x:c r="H20" s="33" t="n">
        <x:v>84</x:v>
      </x:c>
      <x:c r="I20" s="33" t="n">
        <x:v>588</x:v>
      </x:c>
      <x:c r="J20" s="33" t="n">
        <x:v>458.64</x:v>
      </x:c>
      <x:c r="K20" s="33" t="n">
        <x:v>129.36</x:v>
      </x:c>
      <x:c r="L20" s="32" t="n">
        <x:v>5</x:v>
      </x:c>
      <x:c r="M20" s="32" t="str">
        <x:v>Late</x:v>
      </x:c>
      <x:c r="N20" s="32" t="str">
        <x:v>No</x:v>
      </x:c>
      <x:c r="O20" s="32" t="n">
        <x:v>3</x:v>
      </x:c>
    </x:row>
    <x:row r="21">
      <x:c r="A21" s="30" t="str">
        <x:v>ORD-0020</x:v>
      </x:c>
      <x:c r="B21" s="31" t="n">
        <x:v>45874</x:v>
      </x:c>
      <x:c r="C21" s="30" t="str">
        <x:v>Aug</x:v>
      </x:c>
      <x:c r="D21" s="30" t="str">
        <x:v>London</x:v>
      </x:c>
      <x:c r="E21" s="30" t="str">
        <x:v>Home &amp; Kitchen</x:v>
      </x:c>
      <x:c r="F21" s="30" t="str">
        <x:v>Online</x:v>
      </x:c>
      <x:c r="G21" s="32" t="n">
        <x:v>6</x:v>
      </x:c>
      <x:c r="H21" s="33" t="n">
        <x:v>61</x:v>
      </x:c>
      <x:c r="I21" s="33" t="n">
        <x:v>366</x:v>
      </x:c>
      <x:c r="J21" s="33" t="n">
        <x:v>252.54</x:v>
      </x:c>
      <x:c r="K21" s="33" t="n">
        <x:v>113.46</x:v>
      </x:c>
      <x:c r="L21" s="32" t="n">
        <x:v>2</x:v>
      </x:c>
      <x:c r="M21" s="32" t="str">
        <x:v>On Time</x:v>
      </x:c>
      <x:c r="N21" s="32" t="str">
        <x:v>No</x:v>
      </x:c>
      <x:c r="O21" s="32" t="n">
        <x:v>5</x:v>
      </x:c>
    </x:row>
    <x:row r="22">
      <x:c r="A22" s="30" t="str">
        <x:v>ORD-0021</x:v>
      </x:c>
      <x:c r="B22" s="31" t="n">
        <x:v>45912</x:v>
      </x:c>
      <x:c r="C22" s="30" t="str">
        <x:v>Sep</x:v>
      </x:c>
      <x:c r="D22" s="30" t="str">
        <x:v>West Midlands</x:v>
      </x:c>
      <x:c r="E22" s="30" t="str">
        <x:v>Office Supplies</x:v>
      </x:c>
      <x:c r="F22" s="30" t="str">
        <x:v>Online</x:v>
      </x:c>
      <x:c r="G22" s="32" t="n">
        <x:v>5</x:v>
      </x:c>
      <x:c r="H22" s="33" t="n">
        <x:v>21</x:v>
      </x:c>
      <x:c r="I22" s="33" t="n">
        <x:v>105</x:v>
      </x:c>
      <x:c r="J22" s="33" t="n">
        <x:v>65.1</x:v>
      </x:c>
      <x:c r="K22" s="33" t="n">
        <x:v>39.9</x:v>
      </x:c>
      <x:c r="L22" s="32" t="n">
        <x:v>7</x:v>
      </x:c>
      <x:c r="M22" s="32" t="str">
        <x:v>Late</x:v>
      </x:c>
      <x:c r="N22" s="32" t="str">
        <x:v>No</x:v>
      </x:c>
      <x:c r="O22" s="32" t="n">
        <x:v>3</x:v>
      </x:c>
    </x:row>
    <x:row r="23">
      <x:c r="A23" s="30" t="str">
        <x:v>ORD-0022</x:v>
      </x:c>
      <x:c r="B23" s="31" t="n">
        <x:v>45949</x:v>
      </x:c>
      <x:c r="C23" s="30" t="str">
        <x:v>Oct</x:v>
      </x:c>
      <x:c r="D23" s="30" t="str">
        <x:v>East Midlands</x:v>
      </x:c>
      <x:c r="E23" s="30" t="str">
        <x:v>Sports</x:v>
      </x:c>
      <x:c r="F23" s="30" t="str">
        <x:v>Store</x:v>
      </x:c>
      <x:c r="G23" s="32" t="n">
        <x:v>4</x:v>
      </x:c>
      <x:c r="H23" s="33" t="n">
        <x:v>58</x:v>
      </x:c>
      <x:c r="I23" s="33" t="n">
        <x:v>232</x:v>
      </x:c>
      <x:c r="J23" s="33" t="n">
        <x:v>164.72</x:v>
      </x:c>
      <x:c r="K23" s="33" t="n">
        <x:v>67.28</x:v>
      </x:c>
      <x:c r="L23" s="32" t="n">
        <x:v>4</x:v>
      </x:c>
      <x:c r="M23" s="32" t="str">
        <x:v>On Time</x:v>
      </x:c>
      <x:c r="N23" s="32" t="str">
        <x:v>No</x:v>
      </x:c>
      <x:c r="O23" s="32" t="n">
        <x:v>5</x:v>
      </x:c>
    </x:row>
    <x:row r="24">
      <x:c r="A24" s="30" t="str">
        <x:v>ORD-0023</x:v>
      </x:c>
      <x:c r="B24" s="31" t="n">
        <x:v>45987</x:v>
      </x:c>
      <x:c r="C24" s="30" t="str">
        <x:v>Nov</x:v>
      </x:c>
      <x:c r="D24" s="30" t="str">
        <x:v>North West</x:v>
      </x:c>
      <x:c r="E24" s="30" t="str">
        <x:v>Electronics</x:v>
      </x:c>
      <x:c r="F24" s="30" t="str">
        <x:v>Marketplace</x:v>
      </x:c>
      <x:c r="G24" s="32" t="n">
        <x:v>3</x:v>
      </x:c>
      <x:c r="H24" s="33" t="n">
        <x:v>97</x:v>
      </x:c>
      <x:c r="I24" s="33" t="n">
        <x:v>291</x:v>
      </x:c>
      <x:c r="J24" s="33" t="n">
        <x:v>226.98</x:v>
      </x:c>
      <x:c r="K24" s="33" t="n">
        <x:v>64.02</x:v>
      </x:c>
      <x:c r="L24" s="32" t="n">
        <x:v>1</x:v>
      </x:c>
      <x:c r="M24" s="32" t="str">
        <x:v>On Time</x:v>
      </x:c>
      <x:c r="N24" s="32" t="str">
        <x:v>No</x:v>
      </x:c>
      <x:c r="O24" s="32" t="n">
        <x:v>4</x:v>
      </x:c>
    </x:row>
    <x:row r="25">
      <x:c r="A25" s="30" t="str">
        <x:v>ORD-0024</x:v>
      </x:c>
      <x:c r="B25" s="31" t="n">
        <x:v>45998</x:v>
      </x:c>
      <x:c r="C25" s="30" t="str">
        <x:v>Dec</x:v>
      </x:c>
      <x:c r="D25" s="30" t="str">
        <x:v>London</x:v>
      </x:c>
      <x:c r="E25" s="30" t="str">
        <x:v>Home &amp; Kitchen</x:v>
      </x:c>
      <x:c r="F25" s="30" t="str">
        <x:v>Online</x:v>
      </x:c>
      <x:c r="G25" s="32" t="n">
        <x:v>2</x:v>
      </x:c>
      <x:c r="H25" s="33" t="n">
        <x:v>43</x:v>
      </x:c>
      <x:c r="I25" s="33" t="n">
        <x:v>86</x:v>
      </x:c>
      <x:c r="J25" s="33" t="n">
        <x:v>59.34</x:v>
      </x:c>
      <x:c r="K25" s="33" t="n">
        <x:v>26.66</x:v>
      </x:c>
      <x:c r="L25" s="32" t="n">
        <x:v>6</x:v>
      </x:c>
      <x:c r="M25" s="32" t="str">
        <x:v>Late</x:v>
      </x:c>
      <x:c r="N25" s="32" t="str">
        <x:v>No</x:v>
      </x:c>
      <x:c r="O25" s="32" t="n">
        <x:v>4</x:v>
      </x:c>
    </x:row>
    <x:row r="26">
      <x:c r="A26" s="30" t="str">
        <x:v>ORD-0025</x:v>
      </x:c>
      <x:c r="B26" s="31" t="n">
        <x:v>45671</x:v>
      </x:c>
      <x:c r="C26" s="30" t="str">
        <x:v>Jan</x:v>
      </x:c>
      <x:c r="D26" s="30" t="str">
        <x:v>London</x:v>
      </x:c>
      <x:c r="E26" s="30" t="str">
        <x:v>Sports</x:v>
      </x:c>
      <x:c r="F26" s="30" t="str">
        <x:v>Store</x:v>
      </x:c>
      <x:c r="G26" s="32" t="n">
        <x:v>1</x:v>
      </x:c>
      <x:c r="H26" s="33" t="n">
        <x:v>60</x:v>
      </x:c>
      <x:c r="I26" s="33" t="n">
        <x:v>60</x:v>
      </x:c>
      <x:c r="J26" s="33" t="n">
        <x:v>42.6</x:v>
      </x:c>
      <x:c r="K26" s="33" t="n">
        <x:v>17.4</x:v>
      </x:c>
      <x:c r="L26" s="32" t="n">
        <x:v>3</x:v>
      </x:c>
      <x:c r="M26" s="32" t="str">
        <x:v>On Time</x:v>
      </x:c>
      <x:c r="N26" s="32" t="str">
        <x:v>No</x:v>
      </x:c>
      <x:c r="O26" s="32" t="n">
        <x:v>4</x:v>
      </x:c>
    </x:row>
    <x:row r="27">
      <x:c r="A27" s="30" t="str">
        <x:v>ORD-0026</x:v>
      </x:c>
      <x:c r="B27" s="31" t="n">
        <x:v>45709</x:v>
      </x:c>
      <x:c r="C27" s="30" t="str">
        <x:v>Feb</x:v>
      </x:c>
      <x:c r="D27" s="30" t="str">
        <x:v>West Midlands</x:v>
      </x:c>
      <x:c r="E27" s="30" t="str">
        <x:v>Electronics</x:v>
      </x:c>
      <x:c r="F27" s="30" t="str">
        <x:v>Marketplace</x:v>
      </x:c>
      <x:c r="G27" s="32" t="n">
        <x:v>8</x:v>
      </x:c>
      <x:c r="H27" s="33" t="n">
        <x:v>99</x:v>
      </x:c>
      <x:c r="I27" s="33" t="n">
        <x:v>792</x:v>
      </x:c>
      <x:c r="J27" s="33" t="n">
        <x:v>617.76</x:v>
      </x:c>
      <x:c r="K27" s="33" t="n">
        <x:v>174.24</x:v>
      </x:c>
      <x:c r="L27" s="32" t="n">
        <x:v>8</x:v>
      </x:c>
      <x:c r="M27" s="32" t="str">
        <x:v>Late</x:v>
      </x:c>
      <x:c r="N27" s="32" t="str">
        <x:v>No</x:v>
      </x:c>
      <x:c r="O27" s="32" t="n">
        <x:v>4</x:v>
      </x:c>
    </x:row>
    <x:row r="28">
      <x:c r="A28" s="30" t="str">
        <x:v>ORD-0027</x:v>
      </x:c>
      <x:c r="B28" s="31" t="n">
        <x:v>45718</x:v>
      </x:c>
      <x:c r="C28" s="30" t="str">
        <x:v>Mar</x:v>
      </x:c>
      <x:c r="D28" s="30" t="str">
        <x:v>East Midlands</x:v>
      </x:c>
      <x:c r="E28" s="30" t="str">
        <x:v>Home &amp; Kitchen</x:v>
      </x:c>
      <x:c r="F28" s="30" t="str">
        <x:v>Online</x:v>
      </x:c>
      <x:c r="G28" s="32" t="n">
        <x:v>7</x:v>
      </x:c>
      <x:c r="H28" s="33" t="n">
        <x:v>45</x:v>
      </x:c>
      <x:c r="I28" s="33" t="n">
        <x:v>315</x:v>
      </x:c>
      <x:c r="J28" s="33" t="n">
        <x:v>217.35</x:v>
      </x:c>
      <x:c r="K28" s="33" t="n">
        <x:v>97.65</x:v>
      </x:c>
      <x:c r="L28" s="32" t="n">
        <x:v>5</x:v>
      </x:c>
      <x:c r="M28" s="32" t="str">
        <x:v>Late</x:v>
      </x:c>
      <x:c r="N28" s="32" t="str">
        <x:v>No</x:v>
      </x:c>
      <x:c r="O28" s="32" t="n">
        <x:v>3</x:v>
      </x:c>
    </x:row>
    <x:row r="29">
      <x:c r="A29" s="30" t="str">
        <x:v>ORD-0028</x:v>
      </x:c>
      <x:c r="B29" s="31" t="n">
        <x:v>45756</x:v>
      </x:c>
      <x:c r="C29" s="30" t="str">
        <x:v>Apr</x:v>
      </x:c>
      <x:c r="D29" s="30" t="str">
        <x:v>North West</x:v>
      </x:c>
      <x:c r="E29" s="30" t="str">
        <x:v>Office Supplies</x:v>
      </x:c>
      <x:c r="F29" s="30" t="str">
        <x:v>Store</x:v>
      </x:c>
      <x:c r="G29" s="32" t="n">
        <x:v>6</x:v>
      </x:c>
      <x:c r="H29" s="33" t="n">
        <x:v>36</x:v>
      </x:c>
      <x:c r="I29" s="33" t="n">
        <x:v>216</x:v>
      </x:c>
      <x:c r="J29" s="33" t="n">
        <x:v>133.92</x:v>
      </x:c>
      <x:c r="K29" s="33" t="n">
        <x:v>82.08</x:v>
      </x:c>
      <x:c r="L29" s="32" t="n">
        <x:v>3</x:v>
      </x:c>
      <x:c r="M29" s="32" t="str">
        <x:v>On Time</x:v>
      </x:c>
      <x:c r="N29" s="32" t="str">
        <x:v>No</x:v>
      </x:c>
      <x:c r="O29" s="32" t="n">
        <x:v>5</x:v>
      </x:c>
    </x:row>
    <x:row r="30">
      <x:c r="A30" s="30" t="str">
        <x:v>ORD-0029</x:v>
      </x:c>
      <x:c r="B30" s="31" t="n">
        <x:v>45793</x:v>
      </x:c>
      <x:c r="C30" s="30" t="str">
        <x:v>May</x:v>
      </x:c>
      <x:c r="D30" s="30" t="str">
        <x:v>London</x:v>
      </x:c>
      <x:c r="E30" s="30" t="str">
        <x:v>Sports</x:v>
      </x:c>
      <x:c r="F30" s="30" t="str">
        <x:v>Marketplace</x:v>
      </x:c>
      <x:c r="G30" s="32" t="n">
        <x:v>5</x:v>
      </x:c>
      <x:c r="H30" s="33" t="n">
        <x:v>73</x:v>
      </x:c>
      <x:c r="I30" s="33" t="n">
        <x:v>365</x:v>
      </x:c>
      <x:c r="J30" s="33" t="n">
        <x:v>259.15</x:v>
      </x:c>
      <x:c r="K30" s="33" t="n">
        <x:v>105.85</x:v>
      </x:c>
      <x:c r="L30" s="32" t="n">
        <x:v>8</x:v>
      </x:c>
      <x:c r="M30" s="32" t="str">
        <x:v>Late</x:v>
      </x:c>
      <x:c r="N30" s="32" t="str">
        <x:v>No</x:v>
      </x:c>
      <x:c r="O30" s="32" t="n">
        <x:v>3</x:v>
      </x:c>
    </x:row>
    <x:row r="31">
      <x:c r="A31" s="30" t="str">
        <x:v>ORD-0030</x:v>
      </x:c>
      <x:c r="B31" s="31" t="n">
        <x:v>45831</x:v>
      </x:c>
      <x:c r="C31" s="30" t="str">
        <x:v>Jun</x:v>
      </x:c>
      <x:c r="D31" s="30" t="str">
        <x:v>West Midlands</x:v>
      </x:c>
      <x:c r="E31" s="30" t="str">
        <x:v>Electronics</x:v>
      </x:c>
      <x:c r="F31" s="30" t="str">
        <x:v>Online</x:v>
      </x:c>
      <x:c r="G31" s="32" t="n">
        <x:v>4</x:v>
      </x:c>
      <x:c r="H31" s="33" t="n">
        <x:v>81</x:v>
      </x:c>
      <x:c r="I31" s="33" t="n">
        <x:v>324</x:v>
      </x:c>
      <x:c r="J31" s="33" t="n">
        <x:v>252.72</x:v>
      </x:c>
      <x:c r="K31" s="33" t="n">
        <x:v>71.28</x:v>
      </x:c>
      <x:c r="L31" s="32" t="n">
        <x:v>5</x:v>
      </x:c>
      <x:c r="M31" s="32" t="str">
        <x:v>Late</x:v>
      </x:c>
      <x:c r="N31" s="32" t="str">
        <x:v>Yes</x:v>
      </x:c>
      <x:c r="O31" s="32" t="n">
        <x:v>3</x:v>
      </x:c>
    </x:row>
    <x:row r="32">
      <x:c r="A32" s="30" t="str">
        <x:v>ORD-0031</x:v>
      </x:c>
      <x:c r="B32" s="31" t="n">
        <x:v>45842</x:v>
      </x:c>
      <x:c r="C32" s="30" t="str">
        <x:v>Jul</x:v>
      </x:c>
      <x:c r="D32" s="30" t="str">
        <x:v>East Midlands</x:v>
      </x:c>
      <x:c r="E32" s="30" t="str">
        <x:v>Home &amp; Kitchen</x:v>
      </x:c>
      <x:c r="F32" s="30" t="str">
        <x:v>Online</x:v>
      </x:c>
      <x:c r="G32" s="32" t="n">
        <x:v>3</x:v>
      </x:c>
      <x:c r="H32" s="33" t="n">
        <x:v>58</x:v>
      </x:c>
      <x:c r="I32" s="33" t="n">
        <x:v>174</x:v>
      </x:c>
      <x:c r="J32" s="33" t="n">
        <x:v>120.06</x:v>
      </x:c>
      <x:c r="K32" s="33" t="n">
        <x:v>53.94</x:v>
      </x:c>
      <x:c r="L32" s="32" t="n">
        <x:v>2</x:v>
      </x:c>
      <x:c r="M32" s="32" t="str">
        <x:v>On Time</x:v>
      </x:c>
      <x:c r="N32" s="32" t="str">
        <x:v>No</x:v>
      </x:c>
      <x:c r="O32" s="32" t="n">
        <x:v>4</x:v>
      </x:c>
    </x:row>
    <x:row r="33">
      <x:c r="A33" s="30" t="str">
        <x:v>ORD-0032</x:v>
      </x:c>
      <x:c r="B33" s="31" t="n">
        <x:v>45880</x:v>
      </x:c>
      <x:c r="C33" s="30" t="str">
        <x:v>Aug</x:v>
      </x:c>
      <x:c r="D33" s="30" t="str">
        <x:v>North West</x:v>
      </x:c>
      <x:c r="E33" s="30" t="str">
        <x:v>Office Supplies</x:v>
      </x:c>
      <x:c r="F33" s="30" t="str">
        <x:v>Store</x:v>
      </x:c>
      <x:c r="G33" s="32" t="n">
        <x:v>2</x:v>
      </x:c>
      <x:c r="H33" s="33" t="n">
        <x:v>18</x:v>
      </x:c>
      <x:c r="I33" s="33" t="n">
        <x:v>36</x:v>
      </x:c>
      <x:c r="J33" s="33" t="n">
        <x:v>22.32</x:v>
      </x:c>
      <x:c r="K33" s="33" t="n">
        <x:v>13.68</x:v>
      </x:c>
      <x:c r="L33" s="32" t="n">
        <x:v>7</x:v>
      </x:c>
      <x:c r="M33" s="32" t="str">
        <x:v>Late</x:v>
      </x:c>
      <x:c r="N33" s="32" t="str">
        <x:v>No</x:v>
      </x:c>
      <x:c r="O33" s="32" t="n">
        <x:v>4</x:v>
      </x:c>
    </x:row>
    <x:row r="34">
      <x:c r="A34" s="30" t="str">
        <x:v>ORD-0033</x:v>
      </x:c>
      <x:c r="B34" s="31" t="n">
        <x:v>45918</x:v>
      </x:c>
      <x:c r="C34" s="30" t="str">
        <x:v>Sep</x:v>
      </x:c>
      <x:c r="D34" s="30" t="str">
        <x:v>London</x:v>
      </x:c>
      <x:c r="E34" s="30" t="str">
        <x:v>Electronics</x:v>
      </x:c>
      <x:c r="F34" s="30" t="str">
        <x:v>Marketplace</x:v>
      </x:c>
      <x:c r="G34" s="32" t="n">
        <x:v>1</x:v>
      </x:c>
      <x:c r="H34" s="33" t="n">
        <x:v>83</x:v>
      </x:c>
      <x:c r="I34" s="33" t="n">
        <x:v>83</x:v>
      </x:c>
      <x:c r="J34" s="33" t="n">
        <x:v>64.74</x:v>
      </x:c>
      <x:c r="K34" s="33" t="n">
        <x:v>18.26</x:v>
      </x:c>
      <x:c r="L34" s="32" t="n">
        <x:v>4</x:v>
      </x:c>
      <x:c r="M34" s="32" t="str">
        <x:v>On Time</x:v>
      </x:c>
      <x:c r="N34" s="32" t="str">
        <x:v>No</x:v>
      </x:c>
      <x:c r="O34" s="32" t="n">
        <x:v>4</x:v>
      </x:c>
    </x:row>
    <x:row r="35">
      <x:c r="A35" s="30" t="str">
        <x:v>ORD-0034</x:v>
      </x:c>
      <x:c r="B35" s="31" t="n">
        <x:v>45955</x:v>
      </x:c>
      <x:c r="C35" s="30" t="str">
        <x:v>Oct</x:v>
      </x:c>
      <x:c r="D35" s="30" t="str">
        <x:v>West Midlands</x:v>
      </x:c>
      <x:c r="E35" s="30" t="str">
        <x:v>Home &amp; Kitchen</x:v>
      </x:c>
      <x:c r="F35" s="30" t="str">
        <x:v>Online</x:v>
      </x:c>
      <x:c r="G35" s="32" t="n">
        <x:v>8</x:v>
      </x:c>
      <x:c r="H35" s="33" t="n">
        <x:v>60</x:v>
      </x:c>
      <x:c r="I35" s="33" t="n">
        <x:v>480</x:v>
      </x:c>
      <x:c r="J35" s="33" t="n">
        <x:v>331.2</x:v>
      </x:c>
      <x:c r="K35" s="33" t="n">
        <x:v>148.8</x:v>
      </x:c>
      <x:c r="L35" s="32" t="n">
        <x:v>1</x:v>
      </x:c>
      <x:c r="M35" s="32" t="str">
        <x:v>On Time</x:v>
      </x:c>
      <x:c r="N35" s="32" t="str">
        <x:v>No</x:v>
      </x:c>
      <x:c r="O35" s="32" t="n">
        <x:v>5</x:v>
      </x:c>
    </x:row>
    <x:row r="36">
      <x:c r="A36" s="30" t="str">
        <x:v>ORD-0035</x:v>
      </x:c>
      <x:c r="B36" s="31" t="n">
        <x:v>45967</x:v>
      </x:c>
      <x:c r="C36" s="30" t="str">
        <x:v>Nov</x:v>
      </x:c>
      <x:c r="D36" s="30" t="str">
        <x:v>East Midlands</x:v>
      </x:c>
      <x:c r="E36" s="30" t="str">
        <x:v>Office Supplies</x:v>
      </x:c>
      <x:c r="F36" s="30" t="str">
        <x:v>Store</x:v>
      </x:c>
      <x:c r="G36" s="32" t="n">
        <x:v>7</x:v>
      </x:c>
      <x:c r="H36" s="33" t="n">
        <x:v>20</x:v>
      </x:c>
      <x:c r="I36" s="33" t="n">
        <x:v>140</x:v>
      </x:c>
      <x:c r="J36" s="33" t="n">
        <x:v>86.8</x:v>
      </x:c>
      <x:c r="K36" s="33" t="n">
        <x:v>53.2</x:v>
      </x:c>
      <x:c r="L36" s="32" t="n">
        <x:v>6</x:v>
      </x:c>
      <x:c r="M36" s="32" t="str">
        <x:v>Late</x:v>
      </x:c>
      <x:c r="N36" s="32" t="str">
        <x:v>Yes</x:v>
      </x:c>
      <x:c r="O36" s="32" t="n">
        <x:v>2</x:v>
      </x:c>
    </x:row>
    <x:row r="37">
      <x:c r="A37" s="30" t="str">
        <x:v>ORD-0036</x:v>
      </x:c>
      <x:c r="B37" s="31" t="n">
        <x:v>46004</x:v>
      </x:c>
      <x:c r="C37" s="30" t="str">
        <x:v>Dec</x:v>
      </x:c>
      <x:c r="D37" s="30" t="str">
        <x:v>North West</x:v>
      </x:c>
      <x:c r="E37" s="30" t="str">
        <x:v>Sports</x:v>
      </x:c>
      <x:c r="F37" s="30" t="str">
        <x:v>Marketplace</x:v>
      </x:c>
      <x:c r="G37" s="32" t="n">
        <x:v>6</x:v>
      </x:c>
      <x:c r="H37" s="33" t="n">
        <x:v>57</x:v>
      </x:c>
      <x:c r="I37" s="33" t="n">
        <x:v>342</x:v>
      </x:c>
      <x:c r="J37" s="33" t="n">
        <x:v>242.82</x:v>
      </x:c>
      <x:c r="K37" s="33" t="n">
        <x:v>99.18</x:v>
      </x:c>
      <x:c r="L37" s="32" t="n">
        <x:v>3</x:v>
      </x:c>
      <x:c r="M37" s="32" t="str">
        <x:v>On Time</x:v>
      </x:c>
      <x:c r="N37" s="32" t="str">
        <x:v>No</x:v>
      </x:c>
      <x:c r="O37" s="32" t="n">
        <x:v>5</x:v>
      </x:c>
    </x:row>
    <x:row r="38">
      <x:c r="A38" s="30" t="str">
        <x:v>ORD-0037</x:v>
      </x:c>
      <x:c r="B38" s="31" t="n">
        <x:v>45677</x:v>
      </x:c>
      <x:c r="C38" s="30" t="str">
        <x:v>Jan</x:v>
      </x:c>
      <x:c r="D38" s="30" t="str">
        <x:v>North West</x:v>
      </x:c>
      <x:c r="E38" s="30" t="str">
        <x:v>Electronics</x:v>
      </x:c>
      <x:c r="F38" s="30" t="str">
        <x:v>Online</x:v>
      </x:c>
      <x:c r="G38" s="32" t="n">
        <x:v>5</x:v>
      </x:c>
      <x:c r="H38" s="33" t="n">
        <x:v>96</x:v>
      </x:c>
      <x:c r="I38" s="33" t="n">
        <x:v>480</x:v>
      </x:c>
      <x:c r="J38" s="33" t="n">
        <x:v>374.4</x:v>
      </x:c>
      <x:c r="K38" s="33" t="n">
        <x:v>105.6</x:v>
      </x:c>
      <x:c r="L38" s="32" t="n">
        <x:v>1</x:v>
      </x:c>
      <x:c r="M38" s="32" t="str">
        <x:v>On Time</x:v>
      </x:c>
      <x:c r="N38" s="32" t="str">
        <x:v>No</x:v>
      </x:c>
      <x:c r="O38" s="32" t="n">
        <x:v>4</x:v>
      </x:c>
    </x:row>
    <x:row r="39">
      <x:c r="A39" s="30" t="str">
        <x:v>ORD-0038</x:v>
      </x:c>
      <x:c r="B39" s="31" t="n">
        <x:v>45715</x:v>
      </x:c>
      <x:c r="C39" s="30" t="str">
        <x:v>Feb</x:v>
      </x:c>
      <x:c r="D39" s="30" t="str">
        <x:v>London</x:v>
      </x:c>
      <x:c r="E39" s="30" t="str">
        <x:v>Home &amp; Kitchen</x:v>
      </x:c>
      <x:c r="F39" s="30" t="str">
        <x:v>Store</x:v>
      </x:c>
      <x:c r="G39" s="32" t="n">
        <x:v>4</x:v>
      </x:c>
      <x:c r="H39" s="33" t="n">
        <x:v>42</x:v>
      </x:c>
      <x:c r="I39" s="33" t="n">
        <x:v>168</x:v>
      </x:c>
      <x:c r="J39" s="33" t="n">
        <x:v>115.92</x:v>
      </x:c>
      <x:c r="K39" s="33" t="n">
        <x:v>52.08</x:v>
      </x:c>
      <x:c r="L39" s="32" t="n">
        <x:v>6</x:v>
      </x:c>
      <x:c r="M39" s="32" t="str">
        <x:v>Late</x:v>
      </x:c>
      <x:c r="N39" s="32" t="str">
        <x:v>No</x:v>
      </x:c>
      <x:c r="O39" s="32" t="n">
        <x:v>4</x:v>
      </x:c>
    </x:row>
    <x:row r="40">
      <x:c r="A40" s="30" t="str">
        <x:v>ORD-0039</x:v>
      </x:c>
      <x:c r="B40" s="31" t="n">
        <x:v>45724</x:v>
      </x:c>
      <x:c r="C40" s="30" t="str">
        <x:v>Mar</x:v>
      </x:c>
      <x:c r="D40" s="30" t="str">
        <x:v>West Midlands</x:v>
      </x:c>
      <x:c r="E40" s="30" t="str">
        <x:v>Office Supplies</x:v>
      </x:c>
      <x:c r="F40" s="30" t="str">
        <x:v>Marketplace</x:v>
      </x:c>
      <x:c r="G40" s="32" t="n">
        <x:v>3</x:v>
      </x:c>
      <x:c r="H40" s="33" t="n">
        <x:v>33</x:v>
      </x:c>
      <x:c r="I40" s="33" t="n">
        <x:v>99</x:v>
      </x:c>
      <x:c r="J40" s="33" t="n">
        <x:v>61.38</x:v>
      </x:c>
      <x:c r="K40" s="33" t="n">
        <x:v>37.62</x:v>
      </x:c>
      <x:c r="L40" s="32" t="n">
        <x:v>3</x:v>
      </x:c>
      <x:c r="M40" s="32" t="str">
        <x:v>On Time</x:v>
      </x:c>
      <x:c r="N40" s="32" t="str">
        <x:v>No</x:v>
      </x:c>
      <x:c r="O40" s="32" t="n">
        <x:v>4</x:v>
      </x:c>
    </x:row>
    <x:row r="41">
      <x:c r="A41" s="30" t="str">
        <x:v>ORD-0040</x:v>
      </x:c>
      <x:c r="B41" s="31" t="n">
        <x:v>45762</x:v>
      </x:c>
      <x:c r="C41" s="30" t="str">
        <x:v>Apr</x:v>
      </x:c>
      <x:c r="D41" s="30" t="str">
        <x:v>East Midlands</x:v>
      </x:c>
      <x:c r="E41" s="30" t="str">
        <x:v>Sports</x:v>
      </x:c>
      <x:c r="F41" s="30" t="str">
        <x:v>Online</x:v>
      </x:c>
      <x:c r="G41" s="32" t="n">
        <x:v>2</x:v>
      </x:c>
      <x:c r="H41" s="33" t="n">
        <x:v>70</x:v>
      </x:c>
      <x:c r="I41" s="33" t="n">
        <x:v>140</x:v>
      </x:c>
      <x:c r="J41" s="33" t="n">
        <x:v>99.4</x:v>
      </x:c>
      <x:c r="K41" s="33" t="n">
        <x:v>40.6</x:v>
      </x:c>
      <x:c r="L41" s="32" t="n">
        <x:v>8</x:v>
      </x:c>
      <x:c r="M41" s="32" t="str">
        <x:v>Late</x:v>
      </x:c>
      <x:c r="N41" s="32" t="str">
        <x:v>No</x:v>
      </x:c>
      <x:c r="O41" s="32" t="n">
        <x:v>4</x:v>
      </x:c>
    </x:row>
    <x:row r="42">
      <x:c r="A42" s="30" t="str">
        <x:v>ORD-0041</x:v>
      </x:c>
      <x:c r="B42" s="31" t="n">
        <x:v>45799</x:v>
      </x:c>
      <x:c r="C42" s="30" t="str">
        <x:v>May</x:v>
      </x:c>
      <x:c r="D42" s="30" t="str">
        <x:v>North West</x:v>
      </x:c>
      <x:c r="E42" s="30" t="str">
        <x:v>Home &amp; Kitchen</x:v>
      </x:c>
      <x:c r="F42" s="30" t="str">
        <x:v>Online</x:v>
      </x:c>
      <x:c r="G42" s="32" t="n">
        <x:v>1</x:v>
      </x:c>
      <x:c r="H42" s="33" t="n">
        <x:v>44</x:v>
      </x:c>
      <x:c r="I42" s="33" t="n">
        <x:v>44</x:v>
      </x:c>
      <x:c r="J42" s="33" t="n">
        <x:v>30.36</x:v>
      </x:c>
      <x:c r="K42" s="33" t="n">
        <x:v>13.64</x:v>
      </x:c>
      <x:c r="L42" s="32" t="n">
        <x:v>5</x:v>
      </x:c>
      <x:c r="M42" s="32" t="str">
        <x:v>Late</x:v>
      </x:c>
      <x:c r="N42" s="32" t="str">
        <x:v>No</x:v>
      </x:c>
      <x:c r="O42" s="32" t="n">
        <x:v>3</x:v>
      </x:c>
    </x:row>
    <x:row r="43">
      <x:c r="A43" s="30" t="str">
        <x:v>ORD-0042</x:v>
      </x:c>
      <x:c r="B43" s="31" t="n">
        <x:v>45811</x:v>
      </x:c>
      <x:c r="C43" s="30" t="str">
        <x:v>Jun</x:v>
      </x:c>
      <x:c r="D43" s="30" t="str">
        <x:v>London</x:v>
      </x:c>
      <x:c r="E43" s="30" t="str">
        <x:v>Office Supplies</x:v>
      </x:c>
      <x:c r="F43" s="30" t="str">
        <x:v>Store</x:v>
      </x:c>
      <x:c r="G43" s="32" t="n">
        <x:v>8</x:v>
      </x:c>
      <x:c r="H43" s="33" t="n">
        <x:v>35</x:v>
      </x:c>
      <x:c r="I43" s="33" t="n">
        <x:v>280</x:v>
      </x:c>
      <x:c r="J43" s="33" t="n">
        <x:v>173.6</x:v>
      </x:c>
      <x:c r="K43" s="33" t="n">
        <x:v>106.4</x:v>
      </x:c>
      <x:c r="L43" s="32" t="n">
        <x:v>2</x:v>
      </x:c>
      <x:c r="M43" s="32" t="str">
        <x:v>On Time</x:v>
      </x:c>
      <x:c r="N43" s="32" t="str">
        <x:v>No</x:v>
      </x:c>
      <x:c r="O43" s="32" t="n">
        <x:v>5</x:v>
      </x:c>
    </x:row>
    <x:row r="44">
      <x:c r="A44" s="30" t="str">
        <x:v>ORD-0043</x:v>
      </x:c>
      <x:c r="B44" s="31" t="n">
        <x:v>45848</x:v>
      </x:c>
      <x:c r="C44" s="30" t="str">
        <x:v>Jul</x:v>
      </x:c>
      <x:c r="D44" s="30" t="str">
        <x:v>West Midlands</x:v>
      </x:c>
      <x:c r="E44" s="30" t="str">
        <x:v>Sports</x:v>
      </x:c>
      <x:c r="F44" s="30" t="str">
        <x:v>Marketplace</x:v>
      </x:c>
      <x:c r="G44" s="32" t="n">
        <x:v>7</x:v>
      </x:c>
      <x:c r="H44" s="33" t="n">
        <x:v>72</x:v>
      </x:c>
      <x:c r="I44" s="33" t="n">
        <x:v>504</x:v>
      </x:c>
      <x:c r="J44" s="33" t="n">
        <x:v>357.84</x:v>
      </x:c>
      <x:c r="K44" s="33" t="n">
        <x:v>146.16</x:v>
      </x:c>
      <x:c r="L44" s="32" t="n">
        <x:v>7</x:v>
      </x:c>
      <x:c r="M44" s="32" t="str">
        <x:v>Late</x:v>
      </x:c>
      <x:c r="N44" s="32" t="str">
        <x:v>No</x:v>
      </x:c>
      <x:c r="O44" s="32" t="n">
        <x:v>3</x:v>
      </x:c>
    </x:row>
    <x:row r="45">
      <x:c r="A45" s="30" t="str">
        <x:v>ORD-0044</x:v>
      </x:c>
      <x:c r="B45" s="31" t="n">
        <x:v>45886</x:v>
      </x:c>
      <x:c r="C45" s="30" t="str">
        <x:v>Aug</x:v>
      </x:c>
      <x:c r="D45" s="30" t="str">
        <x:v>East Midlands</x:v>
      </x:c>
      <x:c r="E45" s="30" t="str">
        <x:v>Electronics</x:v>
      </x:c>
      <x:c r="F45" s="30" t="str">
        <x:v>Online</x:v>
      </x:c>
      <x:c r="G45" s="32" t="n">
        <x:v>6</x:v>
      </x:c>
      <x:c r="H45" s="33" t="n">
        <x:v>80</x:v>
      </x:c>
      <x:c r="I45" s="33" t="n">
        <x:v>480</x:v>
      </x:c>
      <x:c r="J45" s="33" t="n">
        <x:v>374.4</x:v>
      </x:c>
      <x:c r="K45" s="33" t="n">
        <x:v>105.6</x:v>
      </x:c>
      <x:c r="L45" s="32" t="n">
        <x:v>4</x:v>
      </x:c>
      <x:c r="M45" s="32" t="str">
        <x:v>On Time</x:v>
      </x:c>
      <x:c r="N45" s="32" t="str">
        <x:v>No</x:v>
      </x:c>
      <x:c r="O45" s="32" t="n">
        <x:v>5</x:v>
      </x:c>
    </x:row>
    <x:row r="46">
      <x:c r="A46" s="30" t="str">
        <x:v>ORD-0045</x:v>
      </x:c>
      <x:c r="B46" s="31" t="n">
        <x:v>45924</x:v>
      </x:c>
      <x:c r="C46" s="30" t="str">
        <x:v>Sep</x:v>
      </x:c>
      <x:c r="D46" s="30" t="str">
        <x:v>North West</x:v>
      </x:c>
      <x:c r="E46" s="30" t="str">
        <x:v>Home &amp; Kitchen</x:v>
      </x:c>
      <x:c r="F46" s="30" t="str">
        <x:v>Store</x:v>
      </x:c>
      <x:c r="G46" s="32" t="n">
        <x:v>5</x:v>
      </x:c>
      <x:c r="H46" s="33" t="n">
        <x:v>57</x:v>
      </x:c>
      <x:c r="I46" s="33" t="n">
        <x:v>285</x:v>
      </x:c>
      <x:c r="J46" s="33" t="n">
        <x:v>196.65</x:v>
      </x:c>
      <x:c r="K46" s="33" t="n">
        <x:v>88.35</x:v>
      </x:c>
      <x:c r="L46" s="32" t="n">
        <x:v>1</x:v>
      </x:c>
      <x:c r="M46" s="32" t="str">
        <x:v>On Time</x:v>
      </x:c>
      <x:c r="N46" s="32" t="str">
        <x:v>No</x:v>
      </x:c>
      <x:c r="O46" s="32" t="n">
        <x:v>4</x:v>
      </x:c>
    </x:row>
    <x:row r="47">
      <x:c r="A47" s="30" t="str">
        <x:v>ORD-0046</x:v>
      </x:c>
      <x:c r="B47" s="31" t="n">
        <x:v>45935</x:v>
      </x:c>
      <x:c r="C47" s="30" t="str">
        <x:v>Oct</x:v>
      </x:c>
      <x:c r="D47" s="30" t="str">
        <x:v>London</x:v>
      </x:c>
      <x:c r="E47" s="30" t="str">
        <x:v>Office Supplies</x:v>
      </x:c>
      <x:c r="F47" s="30" t="str">
        <x:v>Marketplace</x:v>
      </x:c>
      <x:c r="G47" s="32" t="n">
        <x:v>4</x:v>
      </x:c>
      <x:c r="H47" s="33" t="n">
        <x:v>48</x:v>
      </x:c>
      <x:c r="I47" s="33" t="n">
        <x:v>192</x:v>
      </x:c>
      <x:c r="J47" s="33" t="n">
        <x:v>119.04</x:v>
      </x:c>
      <x:c r="K47" s="33" t="n">
        <x:v>72.96</x:v>
      </x:c>
      <x:c r="L47" s="32" t="n">
        <x:v>7</x:v>
      </x:c>
      <x:c r="M47" s="32" t="str">
        <x:v>Late</x:v>
      </x:c>
      <x:c r="N47" s="32" t="str">
        <x:v>No</x:v>
      </x:c>
      <x:c r="O47" s="32" t="n">
        <x:v>4</x:v>
      </x:c>
    </x:row>
    <x:row r="48">
      <x:c r="A48" s="30" t="str">
        <x:v>ORD-0047</x:v>
      </x:c>
      <x:c r="B48" s="31" t="n">
        <x:v>45973</x:v>
      </x:c>
      <x:c r="C48" s="30" t="str">
        <x:v>Nov</x:v>
      </x:c>
      <x:c r="D48" s="30" t="str">
        <x:v>West Midlands</x:v>
      </x:c>
      <x:c r="E48" s="30" t="str">
        <x:v>Sports</x:v>
      </x:c>
      <x:c r="F48" s="30" t="str">
        <x:v>Online</x:v>
      </x:c>
      <x:c r="G48" s="32" t="n">
        <x:v>3</x:v>
      </x:c>
      <x:c r="H48" s="33" t="n">
        <x:v>54</x:v>
      </x:c>
      <x:c r="I48" s="33" t="n">
        <x:v>162</x:v>
      </x:c>
      <x:c r="J48" s="33" t="n">
        <x:v>115.02</x:v>
      </x:c>
      <x:c r="K48" s="33" t="n">
        <x:v>46.98</x:v>
      </x:c>
      <x:c r="L48" s="32" t="n">
        <x:v>4</x:v>
      </x:c>
      <x:c r="M48" s="32" t="str">
        <x:v>On Time</x:v>
      </x:c>
      <x:c r="N48" s="32" t="str">
        <x:v>No</x:v>
      </x:c>
      <x:c r="O48" s="32" t="n">
        <x:v>4</x:v>
      </x:c>
    </x:row>
    <x:row r="49">
      <x:c r="A49" s="30" t="str">
        <x:v>ORD-0048</x:v>
      </x:c>
      <x:c r="B49" s="31" t="n">
        <x:v>46010</x:v>
      </x:c>
      <x:c r="C49" s="30" t="str">
        <x:v>Dec</x:v>
      </x:c>
      <x:c r="D49" s="30" t="str">
        <x:v>East Midlands</x:v>
      </x:c>
      <x:c r="E49" s="30" t="str">
        <x:v>Electronics</x:v>
      </x:c>
      <x:c r="F49" s="30" t="str">
        <x:v>Store</x:v>
      </x:c>
      <x:c r="G49" s="32" t="n">
        <x:v>2</x:v>
      </x:c>
      <x:c r="H49" s="33" t="n">
        <x:v>93</x:v>
      </x:c>
      <x:c r="I49" s="33" t="n">
        <x:v>186</x:v>
      </x:c>
      <x:c r="J49" s="33" t="n">
        <x:v>145.08</x:v>
      </x:c>
      <x:c r="K49" s="33" t="n">
        <x:v>40.92</x:v>
      </x:c>
      <x:c r="L49" s="32" t="n">
        <x:v>1</x:v>
      </x:c>
      <x:c r="M49" s="32" t="str">
        <x:v>On Time</x:v>
      </x:c>
      <x:c r="N49" s="32" t="str">
        <x:v>No</x:v>
      </x:c>
      <x:c r="O49" s="32" t="n">
        <x:v>5</x:v>
      </x:c>
    </x:row>
    <x:row r="50">
      <x:c r="A50" s="30" t="str">
        <x:v>ORD-0049</x:v>
      </x:c>
      <x:c r="B50" s="31" t="n">
        <x:v>45683</x:v>
      </x:c>
      <x:c r="C50" s="30" t="str">
        <x:v>Jan</x:v>
      </x:c>
      <x:c r="D50" s="30" t="str">
        <x:v>East Midlands</x:v>
      </x:c>
      <x:c r="E50" s="30" t="str">
        <x:v>Office Supplies</x:v>
      </x:c>
      <x:c r="F50" s="30" t="str">
        <x:v>Marketplace</x:v>
      </x:c>
      <x:c r="G50" s="32" t="n">
        <x:v>1</x:v>
      </x:c>
      <x:c r="H50" s="33" t="n">
        <x:v>19</x:v>
      </x:c>
      <x:c r="I50" s="33" t="n">
        <x:v>19</x:v>
      </x:c>
      <x:c r="J50" s="33" t="n">
        <x:v>11.78</x:v>
      </x:c>
      <x:c r="K50" s="33" t="n">
        <x:v>7.22</x:v>
      </x:c>
      <x:c r="L50" s="32" t="n">
        <x:v>6</x:v>
      </x:c>
      <x:c r="M50" s="32" t="str">
        <x:v>Late</x:v>
      </x:c>
      <x:c r="N50" s="32" t="str">
        <x:v>No</x:v>
      </x:c>
      <x:c r="O50" s="32" t="n">
        <x:v>3</x:v>
      </x:c>
    </x:row>
    <x:row r="51">
      <x:c r="A51" s="30" t="str">
        <x:v>ORD-0050</x:v>
      </x:c>
      <x:c r="B51" s="31" t="n">
        <x:v>45695</x:v>
      </x:c>
      <x:c r="C51" s="30" t="str">
        <x:v>Feb</x:v>
      </x:c>
      <x:c r="D51" s="30" t="str">
        <x:v>North West</x:v>
      </x:c>
      <x:c r="E51" s="30" t="str">
        <x:v>Sports</x:v>
      </x:c>
      <x:c r="F51" s="30" t="str">
        <x:v>Online</x:v>
      </x:c>
      <x:c r="G51" s="32" t="n">
        <x:v>8</x:v>
      </x:c>
      <x:c r="H51" s="33" t="n">
        <x:v>56</x:v>
      </x:c>
      <x:c r="I51" s="33" t="n">
        <x:v>448</x:v>
      </x:c>
      <x:c r="J51" s="33" t="n">
        <x:v>318.08</x:v>
      </x:c>
      <x:c r="K51" s="33" t="n">
        <x:v>129.92</x:v>
      </x:c>
      <x:c r="L51" s="32" t="n">
        <x:v>3</x:v>
      </x:c>
      <x:c r="M51" s="32" t="str">
        <x:v>On Time</x:v>
      </x:c>
      <x:c r="N51" s="32" t="str">
        <x:v>No</x:v>
      </x:c>
      <x:c r="O51" s="32" t="n">
        <x:v>5</x:v>
      </x:c>
    </x:row>
    <x:row r="52">
      <x:c r="A52" s="30" t="str">
        <x:v>ORD-0051</x:v>
      </x:c>
      <x:c r="B52" s="31" t="n">
        <x:v>45730</x:v>
      </x:c>
      <x:c r="C52" s="30" t="str">
        <x:v>Mar</x:v>
      </x:c>
      <x:c r="D52" s="30" t="str">
        <x:v>London</x:v>
      </x:c>
      <x:c r="E52" s="30" t="str">
        <x:v>Electronics</x:v>
      </x:c>
      <x:c r="F52" s="30" t="str">
        <x:v>Online</x:v>
      </x:c>
      <x:c r="G52" s="32" t="n">
        <x:v>7</x:v>
      </x:c>
      <x:c r="H52" s="33" t="n">
        <x:v>95</x:v>
      </x:c>
      <x:c r="I52" s="33" t="n">
        <x:v>665</x:v>
      </x:c>
      <x:c r="J52" s="33" t="n">
        <x:v>518.7</x:v>
      </x:c>
      <x:c r="K52" s="33" t="n">
        <x:v>146.3</x:v>
      </x:c>
      <x:c r="L52" s="32" t="n">
        <x:v>8</x:v>
      </x:c>
      <x:c r="M52" s="32" t="str">
        <x:v>Late</x:v>
      </x:c>
      <x:c r="N52" s="32" t="str">
        <x:v>No</x:v>
      </x:c>
      <x:c r="O52" s="32" t="n">
        <x:v>3</x:v>
      </x:c>
    </x:row>
    <x:row r="53">
      <x:c r="A53" s="30" t="str">
        <x:v>ORD-0052</x:v>
      </x:c>
      <x:c r="B53" s="31" t="n">
        <x:v>45768</x:v>
      </x:c>
      <x:c r="C53" s="30" t="str">
        <x:v>Apr</x:v>
      </x:c>
      <x:c r="D53" s="30" t="str">
        <x:v>West Midlands</x:v>
      </x:c>
      <x:c r="E53" s="30" t="str">
        <x:v>Home &amp; Kitchen</x:v>
      </x:c>
      <x:c r="F53" s="30" t="str">
        <x:v>Store</x:v>
      </x:c>
      <x:c r="G53" s="32" t="n">
        <x:v>6</x:v>
      </x:c>
      <x:c r="H53" s="33" t="n">
        <x:v>41</x:v>
      </x:c>
      <x:c r="I53" s="33" t="n">
        <x:v>246</x:v>
      </x:c>
      <x:c r="J53" s="33" t="n">
        <x:v>169.74</x:v>
      </x:c>
      <x:c r="K53" s="33" t="n">
        <x:v>76.26</x:v>
      </x:c>
      <x:c r="L53" s="32" t="n">
        <x:v>5</x:v>
      </x:c>
      <x:c r="M53" s="32" t="str">
        <x:v>Late</x:v>
      </x:c>
      <x:c r="N53" s="32" t="str">
        <x:v>Yes</x:v>
      </x:c>
      <x:c r="O53" s="32" t="n">
        <x:v>3</x:v>
      </x:c>
    </x:row>
    <x:row r="54">
      <x:c r="A54" s="30" t="str">
        <x:v>ORD-0053</x:v>
      </x:c>
      <x:c r="B54" s="31" t="n">
        <x:v>45779</x:v>
      </x:c>
      <x:c r="C54" s="30" t="str">
        <x:v>May</x:v>
      </x:c>
      <x:c r="D54" s="30" t="str">
        <x:v>East Midlands</x:v>
      </x:c>
      <x:c r="E54" s="30" t="str">
        <x:v>Office Supplies</x:v>
      </x:c>
      <x:c r="F54" s="30" t="str">
        <x:v>Marketplace</x:v>
      </x:c>
      <x:c r="G54" s="32" t="n">
        <x:v>5</x:v>
      </x:c>
      <x:c r="H54" s="33" t="n">
        <x:v>32</x:v>
      </x:c>
      <x:c r="I54" s="33" t="n">
        <x:v>160</x:v>
      </x:c>
      <x:c r="J54" s="33" t="n">
        <x:v>99.2</x:v>
      </x:c>
      <x:c r="K54" s="33" t="n">
        <x:v>60.8</x:v>
      </x:c>
      <x:c r="L54" s="32" t="n">
        <x:v>2</x:v>
      </x:c>
      <x:c r="M54" s="32" t="str">
        <x:v>On Time</x:v>
      </x:c>
      <x:c r="N54" s="32" t="str">
        <x:v>No</x:v>
      </x:c>
      <x:c r="O54" s="32" t="n">
        <x:v>4</x:v>
      </x:c>
    </x:row>
    <x:row r="55">
      <x:c r="A55" s="30" t="str">
        <x:v>ORD-0054</x:v>
      </x:c>
      <x:c r="B55" s="31" t="n">
        <x:v>45817</x:v>
      </x:c>
      <x:c r="C55" s="30" t="str">
        <x:v>Jun</x:v>
      </x:c>
      <x:c r="D55" s="30" t="str">
        <x:v>North West</x:v>
      </x:c>
      <x:c r="E55" s="30" t="str">
        <x:v>Sports</x:v>
      </x:c>
      <x:c r="F55" s="30" t="str">
        <x:v>Online</x:v>
      </x:c>
      <x:c r="G55" s="32" t="n">
        <x:v>4</x:v>
      </x:c>
      <x:c r="H55" s="33" t="n">
        <x:v>69</x:v>
      </x:c>
      <x:c r="I55" s="33" t="n">
        <x:v>276</x:v>
      </x:c>
      <x:c r="J55" s="33" t="n">
        <x:v>195.96</x:v>
      </x:c>
      <x:c r="K55" s="33" t="n">
        <x:v>80.04</x:v>
      </x:c>
      <x:c r="L55" s="32" t="n">
        <x:v>7</x:v>
      </x:c>
      <x:c r="M55" s="32" t="str">
        <x:v>Late</x:v>
      </x:c>
      <x:c r="N55" s="32" t="str">
        <x:v>No</x:v>
      </x:c>
      <x:c r="O55" s="32" t="n">
        <x:v>4</x:v>
      </x:c>
    </x:row>
    <x:row r="56">
      <x:c r="A56" s="30" t="str">
        <x:v>ORD-0055</x:v>
      </x:c>
      <x:c r="B56" s="31" t="n">
        <x:v>45854</x:v>
      </x:c>
      <x:c r="C56" s="30" t="str">
        <x:v>Jul</x:v>
      </x:c>
      <x:c r="D56" s="30" t="str">
        <x:v>London</x:v>
      </x:c>
      <x:c r="E56" s="30" t="str">
        <x:v>Electronics</x:v>
      </x:c>
      <x:c r="F56" s="30" t="str">
        <x:v>Store</x:v>
      </x:c>
      <x:c r="G56" s="32" t="n">
        <x:v>3</x:v>
      </x:c>
      <x:c r="H56" s="33" t="n">
        <x:v>77</x:v>
      </x:c>
      <x:c r="I56" s="33" t="n">
        <x:v>231</x:v>
      </x:c>
      <x:c r="J56" s="33" t="n">
        <x:v>180.18</x:v>
      </x:c>
      <x:c r="K56" s="33" t="n">
        <x:v>50.82</x:v>
      </x:c>
      <x:c r="L56" s="32" t="n">
        <x:v>5</x:v>
      </x:c>
      <x:c r="M56" s="32" t="str">
        <x:v>Late</x:v>
      </x:c>
      <x:c r="N56" s="32" t="str">
        <x:v>No</x:v>
      </x:c>
      <x:c r="O56" s="32" t="n">
        <x:v>3</x:v>
      </x:c>
    </x:row>
    <x:row r="57">
      <x:c r="A57" s="30" t="str">
        <x:v>ORD-0056</x:v>
      </x:c>
      <x:c r="B57" s="31" t="n">
        <x:v>45892</x:v>
      </x:c>
      <x:c r="C57" s="30" t="str">
        <x:v>Aug</x:v>
      </x:c>
      <x:c r="D57" s="30" t="str">
        <x:v>West Midlands</x:v>
      </x:c>
      <x:c r="E57" s="30" t="str">
        <x:v>Home &amp; Kitchen</x:v>
      </x:c>
      <x:c r="F57" s="30" t="str">
        <x:v>Marketplace</x:v>
      </x:c>
      <x:c r="G57" s="32" t="n">
        <x:v>2</x:v>
      </x:c>
      <x:c r="H57" s="33" t="n">
        <x:v>54</x:v>
      </x:c>
      <x:c r="I57" s="33" t="n">
        <x:v>108</x:v>
      </x:c>
      <x:c r="J57" s="33" t="n">
        <x:v>74.52</x:v>
      </x:c>
      <x:c r="K57" s="33" t="n">
        <x:v>33.48</x:v>
      </x:c>
      <x:c r="L57" s="32" t="n">
        <x:v>2</x:v>
      </x:c>
      <x:c r="M57" s="32" t="str">
        <x:v>On Time</x:v>
      </x:c>
      <x:c r="N57" s="32" t="str">
        <x:v>No</x:v>
      </x:c>
      <x:c r="O57" s="32" t="n">
        <x:v>5</x:v>
      </x:c>
    </x:row>
    <x:row r="58">
      <x:c r="A58" s="30" t="str">
        <x:v>ORD-0057</x:v>
      </x:c>
      <x:c r="B58" s="31" t="n">
        <x:v>45904</x:v>
      </x:c>
      <x:c r="C58" s="30" t="str">
        <x:v>Sep</x:v>
      </x:c>
      <x:c r="D58" s="30" t="str">
        <x:v>East Midlands</x:v>
      </x:c>
      <x:c r="E58" s="30" t="str">
        <x:v>Sports</x:v>
      </x:c>
      <x:c r="F58" s="30" t="str">
        <x:v>Online</x:v>
      </x:c>
      <x:c r="G58" s="32" t="n">
        <x:v>1</x:v>
      </x:c>
      <x:c r="H58" s="33" t="n">
        <x:v>71</x:v>
      </x:c>
      <x:c r="I58" s="33" t="n">
        <x:v>71</x:v>
      </x:c>
      <x:c r="J58" s="33" t="n">
        <x:v>50.41</x:v>
      </x:c>
      <x:c r="K58" s="33" t="n">
        <x:v>20.59</x:v>
      </x:c>
      <x:c r="L58" s="32" t="n">
        <x:v>7</x:v>
      </x:c>
      <x:c r="M58" s="32" t="str">
        <x:v>Late</x:v>
      </x:c>
      <x:c r="N58" s="32" t="str">
        <x:v>No</x:v>
      </x:c>
      <x:c r="O58" s="32" t="n">
        <x:v>3</x:v>
      </x:c>
    </x:row>
    <x:row r="59">
      <x:c r="A59" s="30" t="str">
        <x:v>ORD-0058</x:v>
      </x:c>
      <x:c r="B59" s="31" t="n">
        <x:v>45941</x:v>
      </x:c>
      <x:c r="C59" s="30" t="str">
        <x:v>Oct</x:v>
      </x:c>
      <x:c r="D59" s="30" t="str">
        <x:v>North West</x:v>
      </x:c>
      <x:c r="E59" s="30" t="str">
        <x:v>Electronics</x:v>
      </x:c>
      <x:c r="F59" s="30" t="str">
        <x:v>Store</x:v>
      </x:c>
      <x:c r="G59" s="32" t="n">
        <x:v>8</x:v>
      </x:c>
      <x:c r="H59" s="33" t="n">
        <x:v>79</x:v>
      </x:c>
      <x:c r="I59" s="33" t="n">
        <x:v>632</x:v>
      </x:c>
      <x:c r="J59" s="33" t="n">
        <x:v>492.96</x:v>
      </x:c>
      <x:c r="K59" s="33" t="n">
        <x:v>139.04</x:v>
      </x:c>
      <x:c r="L59" s="32" t="n">
        <x:v>4</x:v>
      </x:c>
      <x:c r="M59" s="32" t="str">
        <x:v>On Time</x:v>
      </x:c>
      <x:c r="N59" s="32" t="str">
        <x:v>No</x:v>
      </x:c>
      <x:c r="O59" s="32" t="n">
        <x:v>5</x:v>
      </x:c>
    </x:row>
    <x:row r="60">
      <x:c r="A60" s="30" t="str">
        <x:v>ORD-0059</x:v>
      </x:c>
      <x:c r="B60" s="31" t="n">
        <x:v>45979</x:v>
      </x:c>
      <x:c r="C60" s="30" t="str">
        <x:v>Nov</x:v>
      </x:c>
      <x:c r="D60" s="30" t="str">
        <x:v>London</x:v>
      </x:c>
      <x:c r="E60" s="30" t="str">
        <x:v>Home &amp; Kitchen</x:v>
      </x:c>
      <x:c r="F60" s="30" t="str">
        <x:v>Marketplace</x:v>
      </x:c>
      <x:c r="G60" s="32" t="n">
        <x:v>7</x:v>
      </x:c>
      <x:c r="H60" s="33" t="n">
        <x:v>56</x:v>
      </x:c>
      <x:c r="I60" s="33" t="n">
        <x:v>392</x:v>
      </x:c>
      <x:c r="J60" s="33" t="n">
        <x:v>270.48</x:v>
      </x:c>
      <x:c r="K60" s="33" t="n">
        <x:v>121.52</x:v>
      </x:c>
      <x:c r="L60" s="32" t="n">
        <x:v>1</x:v>
      </x:c>
      <x:c r="M60" s="32" t="str">
        <x:v>On Time</x:v>
      </x:c>
      <x:c r="N60" s="32" t="str">
        <x:v>Yes</x:v>
      </x:c>
      <x:c r="O60" s="32" t="n">
        <x:v>2</x:v>
      </x:c>
    </x:row>
    <x:row r="61">
      <x:c r="A61" s="30" t="str">
        <x:v>ORD-0060</x:v>
      </x:c>
      <x:c r="B61" s="31" t="n">
        <x:v>46016</x:v>
      </x:c>
      <x:c r="C61" s="30" t="str">
        <x:v>Dec</x:v>
      </x:c>
      <x:c r="D61" s="30" t="str">
        <x:v>West Midlands</x:v>
      </x:c>
      <x:c r="E61" s="30" t="str">
        <x:v>Office Supplies</x:v>
      </x:c>
      <x:c r="F61" s="30" t="str">
        <x:v>Online</x:v>
      </x:c>
      <x:c r="G61" s="32" t="n">
        <x:v>6</x:v>
      </x:c>
      <x:c r="H61" s="33" t="n">
        <x:v>47</x:v>
      </x:c>
      <x:c r="I61" s="33" t="n">
        <x:v>282</x:v>
      </x:c>
      <x:c r="J61" s="33" t="n">
        <x:v>174.84</x:v>
      </x:c>
      <x:c r="K61" s="33" t="n">
        <x:v>107.16</x:v>
      </x:c>
      <x:c r="L61" s="32" t="n">
        <x:v>6</x:v>
      </x:c>
      <x:c r="M61" s="32" t="str">
        <x:v>Late</x:v>
      </x:c>
      <x:c r="N61" s="32" t="str">
        <x:v>No</x:v>
      </x:c>
      <x:c r="O61" s="32" t="n">
        <x:v>4</x:v>
      </x:c>
    </x:row>
    <x:row r="62">
      <x:c r="A62" s="30" t="str">
        <x:v>ORD-0061</x:v>
      </x:c>
      <x:c r="B62" s="31" t="n">
        <x:v>45663</x:v>
      </x:c>
      <x:c r="C62" s="30" t="str">
        <x:v>Jan</x:v>
      </x:c>
      <x:c r="D62" s="30" t="str">
        <x:v>West Midlands</x:v>
      </x:c>
      <x:c r="E62" s="30" t="str">
        <x:v>Sports</x:v>
      </x:c>
      <x:c r="F62" s="30" t="str">
        <x:v>Online</x:v>
      </x:c>
      <x:c r="G62" s="32" t="n">
        <x:v>5</x:v>
      </x:c>
      <x:c r="H62" s="33" t="n">
        <x:v>53</x:v>
      </x:c>
      <x:c r="I62" s="33" t="n">
        <x:v>265</x:v>
      </x:c>
      <x:c r="J62" s="33" t="n">
        <x:v>188.15</x:v>
      </x:c>
      <x:c r="K62" s="33" t="n">
        <x:v>76.85</x:v>
      </x:c>
      <x:c r="L62" s="32" t="n">
        <x:v>3</x:v>
      </x:c>
      <x:c r="M62" s="32" t="str">
        <x:v>On Time</x:v>
      </x:c>
      <x:c r="N62" s="32" t="str">
        <x:v>No</x:v>
      </x:c>
      <x:c r="O62" s="32" t="n">
        <x:v>4</x:v>
      </x:c>
    </x:row>
    <x:row r="63">
      <x:c r="A63" s="30" t="str">
        <x:v>ORD-0062</x:v>
      </x:c>
      <x:c r="B63" s="31" t="n">
        <x:v>45701</x:v>
      </x:c>
      <x:c r="C63" s="30" t="str">
        <x:v>Feb</x:v>
      </x:c>
      <x:c r="D63" s="30" t="str">
        <x:v>East Midlands</x:v>
      </x:c>
      <x:c r="E63" s="30" t="str">
        <x:v>Electronics</x:v>
      </x:c>
      <x:c r="F63" s="30" t="str">
        <x:v>Store</x:v>
      </x:c>
      <x:c r="G63" s="32" t="n">
        <x:v>4</x:v>
      </x:c>
      <x:c r="H63" s="33" t="n">
        <x:v>92</x:v>
      </x:c>
      <x:c r="I63" s="33" t="n">
        <x:v>368</x:v>
      </x:c>
      <x:c r="J63" s="33" t="n">
        <x:v>287.04</x:v>
      </x:c>
      <x:c r="K63" s="33" t="n">
        <x:v>80.96</x:v>
      </x:c>
      <x:c r="L63" s="32" t="n">
        <x:v>8</x:v>
      </x:c>
      <x:c r="M63" s="32" t="str">
        <x:v>Late</x:v>
      </x:c>
      <x:c r="N63" s="32" t="str">
        <x:v>No</x:v>
      </x:c>
      <x:c r="O63" s="32" t="n">
        <x:v>4</x:v>
      </x:c>
    </x:row>
    <x:row r="64">
      <x:c r="A64" s="30" t="str">
        <x:v>ORD-0063</x:v>
      </x:c>
      <x:c r="B64" s="31" t="n">
        <x:v>45736</x:v>
      </x:c>
      <x:c r="C64" s="30" t="str">
        <x:v>Mar</x:v>
      </x:c>
      <x:c r="D64" s="30" t="str">
        <x:v>North West</x:v>
      </x:c>
      <x:c r="E64" s="30" t="str">
        <x:v>Home &amp; Kitchen</x:v>
      </x:c>
      <x:c r="F64" s="30" t="str">
        <x:v>Marketplace</x:v>
      </x:c>
      <x:c r="G64" s="32" t="n">
        <x:v>3</x:v>
      </x:c>
      <x:c r="H64" s="33" t="n">
        <x:v>38</x:v>
      </x:c>
      <x:c r="I64" s="33" t="n">
        <x:v>114</x:v>
      </x:c>
      <x:c r="J64" s="33" t="n">
        <x:v>78.66</x:v>
      </x:c>
      <x:c r="K64" s="33" t="n">
        <x:v>35.34</x:v>
      </x:c>
      <x:c r="L64" s="32" t="n">
        <x:v>5</x:v>
      </x:c>
      <x:c r="M64" s="32" t="str">
        <x:v>Late</x:v>
      </x:c>
      <x:c r="N64" s="32" t="str">
        <x:v>No</x:v>
      </x:c>
      <x:c r="O64" s="32" t="n">
        <x:v>3</x:v>
      </x:c>
    </x:row>
    <x:row r="65">
      <x:c r="A65" s="30" t="str">
        <x:v>ORD-0064</x:v>
      </x:c>
      <x:c r="B65" s="31" t="n">
        <x:v>45774</x:v>
      </x:c>
      <x:c r="C65" s="30" t="str">
        <x:v>Apr</x:v>
      </x:c>
      <x:c r="D65" s="30" t="str">
        <x:v>London</x:v>
      </x:c>
      <x:c r="E65" s="30" t="str">
        <x:v>Office Supplies</x:v>
      </x:c>
      <x:c r="F65" s="30" t="str">
        <x:v>Online</x:v>
      </x:c>
      <x:c r="G65" s="32" t="n">
        <x:v>2</x:v>
      </x:c>
      <x:c r="H65" s="33" t="n">
        <x:v>29</x:v>
      </x:c>
      <x:c r="I65" s="33" t="n">
        <x:v>58</x:v>
      </x:c>
      <x:c r="J65" s="33" t="n">
        <x:v>35.96</x:v>
      </x:c>
      <x:c r="K65" s="33" t="n">
        <x:v>22.04</x:v>
      </x:c>
      <x:c r="L65" s="32" t="n">
        <x:v>3</x:v>
      </x:c>
      <x:c r="M65" s="32" t="str">
        <x:v>On Time</x:v>
      </x:c>
      <x:c r="N65" s="32" t="str">
        <x:v>No</x:v>
      </x:c>
      <x:c r="O65" s="32" t="n">
        <x:v>5</x:v>
      </x:c>
    </x:row>
    <x:row r="66">
      <x:c r="A66" s="30" t="str">
        <x:v>ORD-0065</x:v>
      </x:c>
      <x:c r="B66" s="31" t="n">
        <x:v>45785</x:v>
      </x:c>
      <x:c r="C66" s="30" t="str">
        <x:v>May</x:v>
      </x:c>
      <x:c r="D66" s="30" t="str">
        <x:v>West Midlands</x:v>
      </x:c>
      <x:c r="E66" s="30" t="str">
        <x:v>Electronics</x:v>
      </x:c>
      <x:c r="F66" s="30" t="str">
        <x:v>Store</x:v>
      </x:c>
      <x:c r="G66" s="32" t="n">
        <x:v>1</x:v>
      </x:c>
      <x:c r="H66" s="33" t="n">
        <x:v>94</x:v>
      </x:c>
      <x:c r="I66" s="33" t="n">
        <x:v>94</x:v>
      </x:c>
      <x:c r="J66" s="33" t="n">
        <x:v>73.32</x:v>
      </x:c>
      <x:c r="K66" s="33" t="n">
        <x:v>20.68</x:v>
      </x:c>
      <x:c r="L66" s="32" t="n">
        <x:v>8</x:v>
      </x:c>
      <x:c r="M66" s="32" t="str">
        <x:v>Late</x:v>
      </x:c>
      <x:c r="N66" s="32" t="str">
        <x:v>No</x:v>
      </x:c>
      <x:c r="O66" s="32" t="n">
        <x:v>3</x:v>
      </x:c>
    </x:row>
    <x:row r="67">
      <x:c r="A67" s="30" t="str">
        <x:v>ORD-0066</x:v>
      </x:c>
      <x:c r="B67" s="31" t="n">
        <x:v>45823</x:v>
      </x:c>
      <x:c r="C67" s="30" t="str">
        <x:v>Jun</x:v>
      </x:c>
      <x:c r="D67" s="30" t="str">
        <x:v>East Midlands</x:v>
      </x:c>
      <x:c r="E67" s="30" t="str">
        <x:v>Home &amp; Kitchen</x:v>
      </x:c>
      <x:c r="F67" s="30" t="str">
        <x:v>Marketplace</x:v>
      </x:c>
      <x:c r="G67" s="32" t="n">
        <x:v>8</x:v>
      </x:c>
      <x:c r="H67" s="33" t="n">
        <x:v>40</x:v>
      </x:c>
      <x:c r="I67" s="33" t="n">
        <x:v>320</x:v>
      </x:c>
      <x:c r="J67" s="33" t="n">
        <x:v>220.8</x:v>
      </x:c>
      <x:c r="K67" s="33" t="n">
        <x:v>99.2</x:v>
      </x:c>
      <x:c r="L67" s="32" t="n">
        <x:v>5</x:v>
      </x:c>
      <x:c r="M67" s="32" t="str">
        <x:v>Late</x:v>
      </x:c>
      <x:c r="N67" s="32" t="str">
        <x:v>No</x:v>
      </x:c>
      <x:c r="O67" s="32" t="n">
        <x:v>4</x:v>
      </x:c>
    </x:row>
    <x:row r="68">
      <x:c r="A68" s="30" t="str">
        <x:v>ORD-0067</x:v>
      </x:c>
      <x:c r="B68" s="31" t="n">
        <x:v>45860</x:v>
      </x:c>
      <x:c r="C68" s="30" t="str">
        <x:v>Jul</x:v>
      </x:c>
      <x:c r="D68" s="30" t="str">
        <x:v>North West</x:v>
      </x:c>
      <x:c r="E68" s="30" t="str">
        <x:v>Office Supplies</x:v>
      </x:c>
      <x:c r="F68" s="30" t="str">
        <x:v>Online</x:v>
      </x:c>
      <x:c r="G68" s="32" t="n">
        <x:v>7</x:v>
      </x:c>
      <x:c r="H68" s="33" t="n">
        <x:v>31</x:v>
      </x:c>
      <x:c r="I68" s="33" t="n">
        <x:v>217</x:v>
      </x:c>
      <x:c r="J68" s="33" t="n">
        <x:v>134.54</x:v>
      </x:c>
      <x:c r="K68" s="33" t="n">
        <x:v>82.46</x:v>
      </x:c>
      <x:c r="L68" s="32" t="n">
        <x:v>2</x:v>
      </x:c>
      <x:c r="M68" s="32" t="str">
        <x:v>On Time</x:v>
      </x:c>
      <x:c r="N68" s="32" t="str">
        <x:v>No</x:v>
      </x:c>
      <x:c r="O68" s="32" t="n">
        <x:v>4</x:v>
      </x:c>
    </x:row>
    <x:row r="69">
      <x:c r="A69" s="30" t="str">
        <x:v>ORD-0068</x:v>
      </x:c>
      <x:c r="B69" s="31" t="n">
        <x:v>45872</x:v>
      </x:c>
      <x:c r="C69" s="30" t="str">
        <x:v>Aug</x:v>
      </x:c>
      <x:c r="D69" s="30" t="str">
        <x:v>London</x:v>
      </x:c>
      <x:c r="E69" s="30" t="str">
        <x:v>Sports</x:v>
      </x:c>
      <x:c r="F69" s="30" t="str">
        <x:v>Store</x:v>
      </x:c>
      <x:c r="G69" s="32" t="n">
        <x:v>6</x:v>
      </x:c>
      <x:c r="H69" s="33" t="n">
        <x:v>68</x:v>
      </x:c>
      <x:c r="I69" s="33" t="n">
        <x:v>408</x:v>
      </x:c>
      <x:c r="J69" s="33" t="n">
        <x:v>289.68</x:v>
      </x:c>
      <x:c r="K69" s="33" t="n">
        <x:v>118.32</x:v>
      </x:c>
      <x:c r="L69" s="32" t="n">
        <x:v>7</x:v>
      </x:c>
      <x:c r="M69" s="32" t="str">
        <x:v>Late</x:v>
      </x:c>
      <x:c r="N69" s="32" t="str">
        <x:v>No</x:v>
      </x:c>
      <x:c r="O69" s="32" t="n">
        <x:v>4</x:v>
      </x:c>
    </x:row>
    <x:row r="70">
      <x:c r="A70" s="30" t="str">
        <x:v>ORD-0069</x:v>
      </x:c>
      <x:c r="B70" s="31" t="n">
        <x:v>45910</x:v>
      </x:c>
      <x:c r="C70" s="30" t="str">
        <x:v>Sep</x:v>
      </x:c>
      <x:c r="D70" s="30" t="str">
        <x:v>West Midlands</x:v>
      </x:c>
      <x:c r="E70" s="30" t="str">
        <x:v>Electronics</x:v>
      </x:c>
      <x:c r="F70" s="30" t="str">
        <x:v>Marketplace</x:v>
      </x:c>
      <x:c r="G70" s="32" t="n">
        <x:v>5</x:v>
      </x:c>
      <x:c r="H70" s="33" t="n">
        <x:v>76</x:v>
      </x:c>
      <x:c r="I70" s="33" t="n">
        <x:v>380</x:v>
      </x:c>
      <x:c r="J70" s="33" t="n">
        <x:v>296.4</x:v>
      </x:c>
      <x:c r="K70" s="33" t="n">
        <x:v>83.6</x:v>
      </x:c>
      <x:c r="L70" s="32" t="n">
        <x:v>4</x:v>
      </x:c>
      <x:c r="M70" s="32" t="str">
        <x:v>On Time</x:v>
      </x:c>
      <x:c r="N70" s="32" t="str">
        <x:v>No</x:v>
      </x:c>
      <x:c r="O70" s="32" t="n">
        <x:v>4</x:v>
      </x:c>
    </x:row>
    <x:row r="71">
      <x:c r="A71" s="30" t="str">
        <x:v>ORD-0070</x:v>
      </x:c>
      <x:c r="B71" s="31" t="n">
        <x:v>45947</x:v>
      </x:c>
      <x:c r="C71" s="30" t="str">
        <x:v>Oct</x:v>
      </x:c>
      <x:c r="D71" s="30" t="str">
        <x:v>East Midlands</x:v>
      </x:c>
      <x:c r="E71" s="30" t="str">
        <x:v>Home &amp; Kitchen</x:v>
      </x:c>
      <x:c r="F71" s="30" t="str">
        <x:v>Online</x:v>
      </x:c>
      <x:c r="G71" s="32" t="n">
        <x:v>4</x:v>
      </x:c>
      <x:c r="H71" s="33" t="n">
        <x:v>53</x:v>
      </x:c>
      <x:c r="I71" s="33" t="n">
        <x:v>212</x:v>
      </x:c>
      <x:c r="J71" s="33" t="n">
        <x:v>146.28</x:v>
      </x:c>
      <x:c r="K71" s="33" t="n">
        <x:v>65.72</x:v>
      </x:c>
      <x:c r="L71" s="32" t="n">
        <x:v>1</x:v>
      </x:c>
      <x:c r="M71" s="32" t="str">
        <x:v>On Time</x:v>
      </x:c>
      <x:c r="N71" s="32" t="str">
        <x:v>No</x:v>
      </x:c>
      <x:c r="O71" s="32" t="n">
        <x:v>5</x:v>
      </x:c>
    </x:row>
    <x:row r="72">
      <x:c r="A72" s="30" t="str">
        <x:v>ORD-0071</x:v>
      </x:c>
      <x:c r="B72" s="31" t="n">
        <x:v>45985</x:v>
      </x:c>
      <x:c r="C72" s="30" t="str">
        <x:v>Nov</x:v>
      </x:c>
      <x:c r="D72" s="30" t="str">
        <x:v>North West</x:v>
      </x:c>
      <x:c r="E72" s="30" t="str">
        <x:v>Office Supplies</x:v>
      </x:c>
      <x:c r="F72" s="30" t="str">
        <x:v>Online</x:v>
      </x:c>
      <x:c r="G72" s="32" t="n">
        <x:v>3</x:v>
      </x:c>
      <x:c r="H72" s="33" t="n">
        <x:v>44</x:v>
      </x:c>
      <x:c r="I72" s="33" t="n">
        <x:v>132</x:v>
      </x:c>
      <x:c r="J72" s="33" t="n">
        <x:v>81.84</x:v>
      </x:c>
      <x:c r="K72" s="33" t="n">
        <x:v>50.16</x:v>
      </x:c>
      <x:c r="L72" s="32" t="n">
        <x:v>6</x:v>
      </x:c>
      <x:c r="M72" s="32" t="str">
        <x:v>Late</x:v>
      </x:c>
      <x:c r="N72" s="32" t="str">
        <x:v>No</x:v>
      </x:c>
      <x:c r="O72" s="32" t="n">
        <x:v>3</x:v>
      </x:c>
    </x:row>
    <x:row r="73">
      <x:c r="A73" s="30" t="str">
        <x:v>ORD-0072</x:v>
      </x:c>
      <x:c r="B73" s="31" t="n">
        <x:v>45996</x:v>
      </x:c>
      <x:c r="C73" s="30" t="str">
        <x:v>Dec</x:v>
      </x:c>
      <x:c r="D73" s="30" t="str">
        <x:v>London</x:v>
      </x:c>
      <x:c r="E73" s="30" t="str">
        <x:v>Sports</x:v>
      </x:c>
      <x:c r="F73" s="30" t="str">
        <x:v>Store</x:v>
      </x:c>
      <x:c r="G73" s="32" t="n">
        <x:v>2</x:v>
      </x:c>
      <x:c r="H73" s="33" t="n">
        <x:v>50</x:v>
      </x:c>
      <x:c r="I73" s="33" t="n">
        <x:v>100</x:v>
      </x:c>
      <x:c r="J73" s="33" t="n">
        <x:v>71</x:v>
      </x:c>
      <x:c r="K73" s="33" t="n">
        <x:v>29</x:v>
      </x:c>
      <x:c r="L73" s="32" t="n">
        <x:v>3</x:v>
      </x:c>
      <x:c r="M73" s="32" t="str">
        <x:v>On Time</x:v>
      </x:c>
      <x:c r="N73" s="32" t="str">
        <x:v>No</x:v>
      </x:c>
      <x:c r="O73" s="32" t="n">
        <x:v>5</x:v>
      </x:c>
    </x:row>
    <x:row r="74">
      <x:c r="A74" s="30" t="str">
        <x:v>ORD-0073</x:v>
      </x:c>
      <x:c r="B74" s="31" t="n">
        <x:v>45669</x:v>
      </x:c>
      <x:c r="C74" s="30" t="str">
        <x:v>Jan</x:v>
      </x:c>
      <x:c r="D74" s="30" t="str">
        <x:v>London</x:v>
      </x:c>
      <x:c r="E74" s="30" t="str">
        <x:v>Home &amp; Kitchen</x:v>
      </x:c>
      <x:c r="F74" s="30" t="str">
        <x:v>Marketplace</x:v>
      </x:c>
      <x:c r="G74" s="32" t="n">
        <x:v>1</x:v>
      </x:c>
      <x:c r="H74" s="33" t="n">
        <x:v>55</x:v>
      </x:c>
      <x:c r="I74" s="33" t="n">
        <x:v>55</x:v>
      </x:c>
      <x:c r="J74" s="33" t="n">
        <x:v>37.95</x:v>
      </x:c>
      <x:c r="K74" s="33" t="n">
        <x:v>17.05</x:v>
      </x:c>
      <x:c r="L74" s="32" t="n">
        <x:v>1</x:v>
      </x:c>
      <x:c r="M74" s="32" t="str">
        <x:v>On Time</x:v>
      </x:c>
      <x:c r="N74" s="32" t="str">
        <x:v>No</x:v>
      </x:c>
      <x:c r="O74" s="32" t="n">
        <x:v>4</x:v>
      </x:c>
    </x:row>
    <x:row r="75">
      <x:c r="A75" s="30" t="str">
        <x:v>ORD-0074</x:v>
      </x:c>
      <x:c r="B75" s="31" t="n">
        <x:v>45707</x:v>
      </x:c>
      <x:c r="C75" s="30" t="str">
        <x:v>Feb</x:v>
      </x:c>
      <x:c r="D75" s="30" t="str">
        <x:v>West Midlands</x:v>
      </x:c>
      <x:c r="E75" s="30" t="str">
        <x:v>Office Supplies</x:v>
      </x:c>
      <x:c r="F75" s="30" t="str">
        <x:v>Online</x:v>
      </x:c>
      <x:c r="G75" s="32" t="n">
        <x:v>8</x:v>
      </x:c>
      <x:c r="H75" s="33" t="n">
        <x:v>46</x:v>
      </x:c>
      <x:c r="I75" s="33" t="n">
        <x:v>368</x:v>
      </x:c>
      <x:c r="J75" s="33" t="n">
        <x:v>228.16</x:v>
      </x:c>
      <x:c r="K75" s="33" t="n">
        <x:v>139.84</x:v>
      </x:c>
      <x:c r="L75" s="32" t="n">
        <x:v>6</x:v>
      </x:c>
      <x:c r="M75" s="32" t="str">
        <x:v>Late</x:v>
      </x:c>
      <x:c r="N75" s="32" t="str">
        <x:v>No</x:v>
      </x:c>
      <x:c r="O75" s="32" t="n">
        <x:v>4</x:v>
      </x:c>
    </x:row>
    <x:row r="76">
      <x:c r="A76" s="30" t="str">
        <x:v>ORD-0075</x:v>
      </x:c>
      <x:c r="B76" s="31" t="n">
        <x:v>45742</x:v>
      </x:c>
      <x:c r="C76" s="30" t="str">
        <x:v>Mar</x:v>
      </x:c>
      <x:c r="D76" s="30" t="str">
        <x:v>East Midlands</x:v>
      </x:c>
      <x:c r="E76" s="30" t="str">
        <x:v>Sports</x:v>
      </x:c>
      <x:c r="F76" s="30" t="str">
        <x:v>Store</x:v>
      </x:c>
      <x:c r="G76" s="32" t="n">
        <x:v>7</x:v>
      </x:c>
      <x:c r="H76" s="33" t="n">
        <x:v>52</x:v>
      </x:c>
      <x:c r="I76" s="33" t="n">
        <x:v>364</x:v>
      </x:c>
      <x:c r="J76" s="33" t="n">
        <x:v>258.44</x:v>
      </x:c>
      <x:c r="K76" s="33" t="n">
        <x:v>105.56</x:v>
      </x:c>
      <x:c r="L76" s="32" t="n">
        <x:v>3</x:v>
      </x:c>
      <x:c r="M76" s="32" t="str">
        <x:v>On Time</x:v>
      </x:c>
      <x:c r="N76" s="32" t="str">
        <x:v>No</x:v>
      </x:c>
      <x:c r="O76" s="32" t="n">
        <x:v>4</x:v>
      </x:c>
    </x:row>
    <x:row r="77">
      <x:c r="A77" s="30" t="str">
        <x:v>ORD-0076</x:v>
      </x:c>
      <x:c r="B77" s="31" t="n">
        <x:v>45754</x:v>
      </x:c>
      <x:c r="C77" s="30" t="str">
        <x:v>Apr</x:v>
      </x:c>
      <x:c r="D77" s="30" t="str">
        <x:v>North West</x:v>
      </x:c>
      <x:c r="E77" s="30" t="str">
        <x:v>Electronics</x:v>
      </x:c>
      <x:c r="F77" s="30" t="str">
        <x:v>Marketplace</x:v>
      </x:c>
      <x:c r="G77" s="32" t="n">
        <x:v>6</x:v>
      </x:c>
      <x:c r="H77" s="33" t="n">
        <x:v>91</x:v>
      </x:c>
      <x:c r="I77" s="33" t="n">
        <x:v>546</x:v>
      </x:c>
      <x:c r="J77" s="33" t="n">
        <x:v>425.88</x:v>
      </x:c>
      <x:c r="K77" s="33" t="n">
        <x:v>120.12</x:v>
      </x:c>
      <x:c r="L77" s="32" t="n">
        <x:v>8</x:v>
      </x:c>
      <x:c r="M77" s="32" t="str">
        <x:v>Late</x:v>
      </x:c>
      <x:c r="N77" s="32" t="str">
        <x:v>No</x:v>
      </x:c>
      <x:c r="O77" s="32" t="n">
        <x:v>4</x:v>
      </x:c>
    </x:row>
    <x:row r="78">
      <x:c r="A78" s="30" t="str">
        <x:v>ORD-0077</x:v>
      </x:c>
      <x:c r="B78" s="31" t="n">
        <x:v>45791</x:v>
      </x:c>
      <x:c r="C78" s="30" t="str">
        <x:v>May</x:v>
      </x:c>
      <x:c r="D78" s="30" t="str">
        <x:v>London</x:v>
      </x:c>
      <x:c r="E78" s="30" t="str">
        <x:v>Home &amp; Kitchen</x:v>
      </x:c>
      <x:c r="F78" s="30" t="str">
        <x:v>Online</x:v>
      </x:c>
      <x:c r="G78" s="32" t="n">
        <x:v>5</x:v>
      </x:c>
      <x:c r="H78" s="33" t="n">
        <x:v>68</x:v>
      </x:c>
      <x:c r="I78" s="33" t="n">
        <x:v>340</x:v>
      </x:c>
      <x:c r="J78" s="33" t="n">
        <x:v>234.6</x:v>
      </x:c>
      <x:c r="K78" s="33" t="n">
        <x:v>105.4</x:v>
      </x:c>
      <x:c r="L78" s="32" t="n">
        <x:v>5</x:v>
      </x:c>
      <x:c r="M78" s="32" t="str">
        <x:v>Late</x:v>
      </x:c>
      <x:c r="N78" s="32" t="str">
        <x:v>No</x:v>
      </x:c>
      <x:c r="O78" s="32" t="n">
        <x:v>3</x:v>
      </x:c>
    </x:row>
    <x:row r="79">
      <x:c r="A79" s="30" t="str">
        <x:v>ORD-0078</x:v>
      </x:c>
      <x:c r="B79" s="31" t="n">
        <x:v>45829</x:v>
      </x:c>
      <x:c r="C79" s="30" t="str">
        <x:v>Jun</x:v>
      </x:c>
      <x:c r="D79" s="30" t="str">
        <x:v>West Midlands</x:v>
      </x:c>
      <x:c r="E79" s="30" t="str">
        <x:v>Office Supplies</x:v>
      </x:c>
      <x:c r="F79" s="30" t="str">
        <x:v>Store</x:v>
      </x:c>
      <x:c r="G79" s="32" t="n">
        <x:v>4</x:v>
      </x:c>
      <x:c r="H79" s="33" t="n">
        <x:v>28</x:v>
      </x:c>
      <x:c r="I79" s="33" t="n">
        <x:v>112</x:v>
      </x:c>
      <x:c r="J79" s="33" t="n">
        <x:v>69.44</x:v>
      </x:c>
      <x:c r="K79" s="33" t="n">
        <x:v>42.56</x:v>
      </x:c>
      <x:c r="L79" s="32" t="n">
        <x:v>2</x:v>
      </x:c>
      <x:c r="M79" s="32" t="str">
        <x:v>On Time</x:v>
      </x:c>
      <x:c r="N79" s="32" t="str">
        <x:v>No</x:v>
      </x:c>
      <x:c r="O79" s="32" t="n">
        <x:v>5</x:v>
      </x:c>
    </x:row>
    <x:row r="80">
      <x:c r="A80" s="30" t="str">
        <x:v>ORD-0079</x:v>
      </x:c>
      <x:c r="B80" s="31" t="n">
        <x:v>45840</x:v>
      </x:c>
      <x:c r="C80" s="30" t="str">
        <x:v>Jul</x:v>
      </x:c>
      <x:c r="D80" s="30" t="str">
        <x:v>East Midlands</x:v>
      </x:c>
      <x:c r="E80" s="30" t="str">
        <x:v>Sports</x:v>
      </x:c>
      <x:c r="F80" s="30" t="str">
        <x:v>Marketplace</x:v>
      </x:c>
      <x:c r="G80" s="32" t="n">
        <x:v>3</x:v>
      </x:c>
      <x:c r="H80" s="33" t="n">
        <x:v>65</x:v>
      </x:c>
      <x:c r="I80" s="33" t="n">
        <x:v>195</x:v>
      </x:c>
      <x:c r="J80" s="33" t="n">
        <x:v>138.45</x:v>
      </x:c>
      <x:c r="K80" s="33" t="n">
        <x:v>56.55</x:v>
      </x:c>
      <x:c r="L80" s="32" t="n">
        <x:v>7</x:v>
      </x:c>
      <x:c r="M80" s="32" t="str">
        <x:v>Late</x:v>
      </x:c>
      <x:c r="N80" s="32" t="str">
        <x:v>No</x:v>
      </x:c>
      <x:c r="O80" s="32" t="n">
        <x:v>3</x:v>
      </x:c>
    </x:row>
    <x:row r="81">
      <x:c r="A81" s="30" t="str">
        <x:v>ORD-0080</x:v>
      </x:c>
      <x:c r="B81" s="31" t="n">
        <x:v>45878</x:v>
      </x:c>
      <x:c r="C81" s="30" t="str">
        <x:v>Aug</x:v>
      </x:c>
      <x:c r="D81" s="30" t="str">
        <x:v>North West</x:v>
      </x:c>
      <x:c r="E81" s="30" t="str">
        <x:v>Electronics</x:v>
      </x:c>
      <x:c r="F81" s="30" t="str">
        <x:v>Online</x:v>
      </x:c>
      <x:c r="G81" s="32" t="n">
        <x:v>2</x:v>
      </x:c>
      <x:c r="H81" s="33" t="n">
        <x:v>73</x:v>
      </x:c>
      <x:c r="I81" s="33" t="n">
        <x:v>146</x:v>
      </x:c>
      <x:c r="J81" s="33" t="n">
        <x:v>113.88</x:v>
      </x:c>
      <x:c r="K81" s="33" t="n">
        <x:v>32.12</x:v>
      </x:c>
      <x:c r="L81" s="32" t="n">
        <x:v>4</x:v>
      </x:c>
      <x:c r="M81" s="32" t="str">
        <x:v>On Time</x:v>
      </x:c>
      <x:c r="N81" s="32" t="str">
        <x:v>No</x:v>
      </x:c>
      <x:c r="O81" s="32" t="n">
        <x:v>5</x:v>
      </x:c>
    </x:row>
    <x:row r="82">
      <x:c r="A82" s="30" t="str">
        <x:v>ORD-0081</x:v>
      </x:c>
      <x:c r="B82" s="31" t="n">
        <x:v>45916</x:v>
      </x:c>
      <x:c r="C82" s="30" t="str">
        <x:v>Sep</x:v>
      </x:c>
      <x:c r="D82" s="30" t="str">
        <x:v>London</x:v>
      </x:c>
      <x:c r="E82" s="30" t="str">
        <x:v>Office Supplies</x:v>
      </x:c>
      <x:c r="F82" s="30" t="str">
        <x:v>Online</x:v>
      </x:c>
      <x:c r="G82" s="32" t="n">
        <x:v>1</x:v>
      </x:c>
      <x:c r="H82" s="33" t="n">
        <x:v>30</x:v>
      </x:c>
      <x:c r="I82" s="33" t="n">
        <x:v>30</x:v>
      </x:c>
      <x:c r="J82" s="33" t="n">
        <x:v>18.6</x:v>
      </x:c>
      <x:c r="K82" s="33" t="n">
        <x:v>11.4</x:v>
      </x:c>
      <x:c r="L82" s="32" t="n">
        <x:v>1</x:v>
      </x:c>
      <x:c r="M82" s="32" t="str">
        <x:v>On Time</x:v>
      </x:c>
      <x:c r="N82" s="32" t="str">
        <x:v>No</x:v>
      </x:c>
      <x:c r="O82" s="32" t="n">
        <x:v>4</x:v>
      </x:c>
    </x:row>
    <x:row r="83">
      <x:c r="A83" s="30" t="str">
        <x:v>ORD-0082</x:v>
      </x:c>
      <x:c r="B83" s="31" t="n">
        <x:v>45953</x:v>
      </x:c>
      <x:c r="C83" s="30" t="str">
        <x:v>Oct</x:v>
      </x:c>
      <x:c r="D83" s="30" t="str">
        <x:v>West Midlands</x:v>
      </x:c>
      <x:c r="E83" s="30" t="str">
        <x:v>Sports</x:v>
      </x:c>
      <x:c r="F83" s="30" t="str">
        <x:v>Store</x:v>
      </x:c>
      <x:c r="G83" s="32" t="n">
        <x:v>8</x:v>
      </x:c>
      <x:c r="H83" s="33" t="n">
        <x:v>67</x:v>
      </x:c>
      <x:c r="I83" s="33" t="n">
        <x:v>536</x:v>
      </x:c>
      <x:c r="J83" s="33" t="n">
        <x:v>380.56</x:v>
      </x:c>
      <x:c r="K83" s="33" t="n">
        <x:v>155.44</x:v>
      </x:c>
      <x:c r="L83" s="32" t="n">
        <x:v>7</x:v>
      </x:c>
      <x:c r="M83" s="32" t="str">
        <x:v>Late</x:v>
      </x:c>
      <x:c r="N83" s="32" t="str">
        <x:v>No</x:v>
      </x:c>
      <x:c r="O83" s="32" t="n">
        <x:v>4</x:v>
      </x:c>
    </x:row>
    <x:row r="84">
      <x:c r="A84" s="30" t="str">
        <x:v>ORD-0083</x:v>
      </x:c>
      <x:c r="B84" s="31" t="n">
        <x:v>45965</x:v>
      </x:c>
      <x:c r="C84" s="30" t="str">
        <x:v>Nov</x:v>
      </x:c>
      <x:c r="D84" s="30" t="str">
        <x:v>East Midlands</x:v>
      </x:c>
      <x:c r="E84" s="30" t="str">
        <x:v>Electronics</x:v>
      </x:c>
      <x:c r="F84" s="30" t="str">
        <x:v>Marketplace</x:v>
      </x:c>
      <x:c r="G84" s="32" t="n">
        <x:v>7</x:v>
      </x:c>
      <x:c r="H84" s="33" t="n">
        <x:v>75</x:v>
      </x:c>
      <x:c r="I84" s="33" t="n">
        <x:v>525</x:v>
      </x:c>
      <x:c r="J84" s="33" t="n">
        <x:v>409.5</x:v>
      </x:c>
      <x:c r="K84" s="33" t="n">
        <x:v>115.5</x:v>
      </x:c>
      <x:c r="L84" s="32" t="n">
        <x:v>4</x:v>
      </x:c>
      <x:c r="M84" s="32" t="str">
        <x:v>On Time</x:v>
      </x:c>
      <x:c r="N84" s="32" t="str">
        <x:v>No</x:v>
      </x:c>
      <x:c r="O84" s="32" t="n">
        <x:v>4</x:v>
      </x:c>
    </x:row>
    <x:row r="85">
      <x:c r="A85" s="30" t="str">
        <x:v>ORD-0084</x:v>
      </x:c>
      <x:c r="B85" s="31" t="n">
        <x:v>46002</x:v>
      </x:c>
      <x:c r="C85" s="30" t="str">
        <x:v>Dec</x:v>
      </x:c>
      <x:c r="D85" s="30" t="str">
        <x:v>North West</x:v>
      </x:c>
      <x:c r="E85" s="30" t="str">
        <x:v>Home &amp; Kitchen</x:v>
      </x:c>
      <x:c r="F85" s="30" t="str">
        <x:v>Online</x:v>
      </x:c>
      <x:c r="G85" s="32" t="n">
        <x:v>6</x:v>
      </x:c>
      <x:c r="H85" s="33" t="n">
        <x:v>52</x:v>
      </x:c>
      <x:c r="I85" s="33" t="n">
        <x:v>312</x:v>
      </x:c>
      <x:c r="J85" s="33" t="n">
        <x:v>215.28</x:v>
      </x:c>
      <x:c r="K85" s="33" t="n">
        <x:v>96.72</x:v>
      </x:c>
      <x:c r="L85" s="32" t="n">
        <x:v>1</x:v>
      </x:c>
      <x:c r="M85" s="32" t="str">
        <x:v>On Time</x:v>
      </x:c>
      <x:c r="N85" s="32" t="str">
        <x:v>No</x:v>
      </x:c>
      <x:c r="O85" s="32" t="n">
        <x:v>5</x:v>
      </x:c>
    </x:row>
    <x:row r="86">
      <x:c r="A86" s="30" t="str">
        <x:v>ORD-0085</x:v>
      </x:c>
      <x:c r="B86" s="31" t="n">
        <x:v>45675</x:v>
      </x:c>
      <x:c r="C86" s="30" t="str">
        <x:v>Jan</x:v>
      </x:c>
      <x:c r="D86" s="30" t="str">
        <x:v>North West</x:v>
      </x:c>
      <x:c r="E86" s="30" t="str">
        <x:v>Office Supplies</x:v>
      </x:c>
      <x:c r="F86" s="30" t="str">
        <x:v>Store</x:v>
      </x:c>
      <x:c r="G86" s="32" t="n">
        <x:v>5</x:v>
      </x:c>
      <x:c r="H86" s="33" t="n">
        <x:v>43</x:v>
      </x:c>
      <x:c r="I86" s="33" t="n">
        <x:v>215</x:v>
      </x:c>
      <x:c r="J86" s="33" t="n">
        <x:v>133.3</x:v>
      </x:c>
      <x:c r="K86" s="33" t="n">
        <x:v>81.7</x:v>
      </x:c>
      <x:c r="L86" s="32" t="n">
        <x:v>6</x:v>
      </x:c>
      <x:c r="M86" s="32" t="str">
        <x:v>Late</x:v>
      </x:c>
      <x:c r="N86" s="32" t="str">
        <x:v>No</x:v>
      </x:c>
      <x:c r="O86" s="32" t="n">
        <x:v>3</x:v>
      </x:c>
    </x:row>
    <x:row r="87">
      <x:c r="A87" s="30" t="str">
        <x:v>ORD-0086</x:v>
      </x:c>
      <x:c r="B87" s="31" t="n">
        <x:v>45713</x:v>
      </x:c>
      <x:c r="C87" s="30" t="str">
        <x:v>Feb</x:v>
      </x:c>
      <x:c r="D87" s="30" t="str">
        <x:v>London</x:v>
      </x:c>
      <x:c r="E87" s="30" t="str">
        <x:v>Sports</x:v>
      </x:c>
      <x:c r="F87" s="30" t="str">
        <x:v>Marketplace</x:v>
      </x:c>
      <x:c r="G87" s="32" t="n">
        <x:v>4</x:v>
      </x:c>
      <x:c r="H87" s="33" t="n">
        <x:v>49</x:v>
      </x:c>
      <x:c r="I87" s="33" t="n">
        <x:v>196</x:v>
      </x:c>
      <x:c r="J87" s="33" t="n">
        <x:v>139.16</x:v>
      </x:c>
      <x:c r="K87" s="33" t="n">
        <x:v>56.84</x:v>
      </x:c>
      <x:c r="L87" s="32" t="n">
        <x:v>3</x:v>
      </x:c>
      <x:c r="M87" s="32" t="str">
        <x:v>On Time</x:v>
      </x:c>
      <x:c r="N87" s="32" t="str">
        <x:v>No</x:v>
      </x:c>
      <x:c r="O87" s="32" t="n">
        <x:v>5</x:v>
      </x:c>
    </x:row>
    <x:row r="88">
      <x:c r="A88" s="30" t="str">
        <x:v>ORD-0087</x:v>
      </x:c>
      <x:c r="B88" s="31" t="n">
        <x:v>45722</x:v>
      </x:c>
      <x:c r="C88" s="30" t="str">
        <x:v>Mar</x:v>
      </x:c>
      <x:c r="D88" s="30" t="str">
        <x:v>West Midlands</x:v>
      </x:c>
      <x:c r="E88" s="30" t="str">
        <x:v>Electronics</x:v>
      </x:c>
      <x:c r="F88" s="30" t="str">
        <x:v>Online</x:v>
      </x:c>
      <x:c r="G88" s="32" t="n">
        <x:v>3</x:v>
      </x:c>
      <x:c r="H88" s="33" t="n">
        <x:v>88</x:v>
      </x:c>
      <x:c r="I88" s="33" t="n">
        <x:v>264</x:v>
      </x:c>
      <x:c r="J88" s="33" t="n">
        <x:v>205.92</x:v>
      </x:c>
      <x:c r="K88" s="33" t="n">
        <x:v>58.08</x:v>
      </x:c>
      <x:c r="L88" s="32" t="n">
        <x:v>8</x:v>
      </x:c>
      <x:c r="M88" s="32" t="str">
        <x:v>Late</x:v>
      </x:c>
      <x:c r="N88" s="32" t="str">
        <x:v>No</x:v>
      </x:c>
      <x:c r="O88" s="32" t="n">
        <x:v>3</x:v>
      </x:c>
    </x:row>
    <x:row r="89">
      <x:c r="A89" s="30" t="str">
        <x:v>ORD-0088</x:v>
      </x:c>
      <x:c r="B89" s="31" t="n">
        <x:v>45760</x:v>
      </x:c>
      <x:c r="C89" s="30" t="str">
        <x:v>Apr</x:v>
      </x:c>
      <x:c r="D89" s="30" t="str">
        <x:v>East Midlands</x:v>
      </x:c>
      <x:c r="E89" s="30" t="str">
        <x:v>Home &amp; Kitchen</x:v>
      </x:c>
      <x:c r="F89" s="30" t="str">
        <x:v>Store</x:v>
      </x:c>
      <x:c r="G89" s="32" t="n">
        <x:v>2</x:v>
      </x:c>
      <x:c r="H89" s="33" t="n">
        <x:v>65</x:v>
      </x:c>
      <x:c r="I89" s="33" t="n">
        <x:v>130</x:v>
      </x:c>
      <x:c r="J89" s="33" t="n">
        <x:v>89.7</x:v>
      </x:c>
      <x:c r="K89" s="33" t="n">
        <x:v>40.3</x:v>
      </x:c>
      <x:c r="L89" s="32" t="n">
        <x:v>5</x:v>
      </x:c>
      <x:c r="M89" s="32" t="str">
        <x:v>Late</x:v>
      </x:c>
      <x:c r="N89" s="32" t="str">
        <x:v>Yes</x:v>
      </x:c>
      <x:c r="O89" s="32" t="n">
        <x:v>3</x:v>
      </x:c>
    </x:row>
    <x:row r="90">
      <x:c r="A90" s="30" t="str">
        <x:v>ORD-0089</x:v>
      </x:c>
      <x:c r="B90" s="31" t="n">
        <x:v>45797</x:v>
      </x:c>
      <x:c r="C90" s="30" t="str">
        <x:v>May</x:v>
      </x:c>
      <x:c r="D90" s="30" t="str">
        <x:v>North West</x:v>
      </x:c>
      <x:c r="E90" s="30" t="str">
        <x:v>Sports</x:v>
      </x:c>
      <x:c r="F90" s="30" t="str">
        <x:v>Marketplace</x:v>
      </x:c>
      <x:c r="G90" s="32" t="n">
        <x:v>1</x:v>
      </x:c>
      <x:c r="H90" s="33" t="n">
        <x:v>51</x:v>
      </x:c>
      <x:c r="I90" s="33" t="n">
        <x:v>51</x:v>
      </x:c>
      <x:c r="J90" s="33" t="n">
        <x:v>36.21</x:v>
      </x:c>
      <x:c r="K90" s="33" t="n">
        <x:v>14.79</x:v>
      </x:c>
      <x:c r="L90" s="32" t="n">
        <x:v>2</x:v>
      </x:c>
      <x:c r="M90" s="32" t="str">
        <x:v>On Time</x:v>
      </x:c>
      <x:c r="N90" s="32" t="str">
        <x:v>No</x:v>
      </x:c>
      <x:c r="O90" s="32" t="n">
        <x:v>4</x:v>
      </x:c>
    </x:row>
    <x:row r="91">
      <x:c r="A91" s="30" t="str">
        <x:v>ORD-0090</x:v>
      </x:c>
      <x:c r="B91" s="31" t="n">
        <x:v>45835</x:v>
      </x:c>
      <x:c r="C91" s="30" t="str">
        <x:v>Jun</x:v>
      </x:c>
      <x:c r="D91" s="30" t="str">
        <x:v>London</x:v>
      </x:c>
      <x:c r="E91" s="30" t="str">
        <x:v>Electronics</x:v>
      </x:c>
      <x:c r="F91" s="30" t="str">
        <x:v>Online</x:v>
      </x:c>
      <x:c r="G91" s="32" t="n">
        <x:v>8</x:v>
      </x:c>
      <x:c r="H91" s="33" t="n">
        <x:v>90</x:v>
      </x:c>
      <x:c r="I91" s="33" t="n">
        <x:v>720</x:v>
      </x:c>
      <x:c r="J91" s="33" t="n">
        <x:v>561.6</x:v>
      </x:c>
      <x:c r="K91" s="33" t="n">
        <x:v>158.4</x:v>
      </x:c>
      <x:c r="L91" s="32" t="n">
        <x:v>7</x:v>
      </x:c>
      <x:c r="M91" s="32" t="str">
        <x:v>Late</x:v>
      </x:c>
      <x:c r="N91" s="32" t="str">
        <x:v>No</x:v>
      </x:c>
      <x:c r="O91" s="32" t="n">
        <x:v>4</x:v>
      </x:c>
    </x:row>
    <x:row r="92">
      <x:c r="A92" s="30" t="str">
        <x:v>ORD-0091</x:v>
      </x:c>
      <x:c r="B92" s="31" t="n">
        <x:v>45846</x:v>
      </x:c>
      <x:c r="C92" s="30" t="str">
        <x:v>Jul</x:v>
      </x:c>
      <x:c r="D92" s="30" t="str">
        <x:v>West Midlands</x:v>
      </x:c>
      <x:c r="E92" s="30" t="str">
        <x:v>Home &amp; Kitchen</x:v>
      </x:c>
      <x:c r="F92" s="30" t="str">
        <x:v>Online</x:v>
      </x:c>
      <x:c r="G92" s="32" t="n">
        <x:v>7</x:v>
      </x:c>
      <x:c r="H92" s="33" t="n">
        <x:v>67</x:v>
      </x:c>
      <x:c r="I92" s="33" t="n">
        <x:v>469</x:v>
      </x:c>
      <x:c r="J92" s="33" t="n">
        <x:v>323.61</x:v>
      </x:c>
      <x:c r="K92" s="33" t="n">
        <x:v>145.39</x:v>
      </x:c>
      <x:c r="L92" s="32" t="n">
        <x:v>5</x:v>
      </x:c>
      <x:c r="M92" s="32" t="str">
        <x:v>Late</x:v>
      </x:c>
      <x:c r="N92" s="32" t="str">
        <x:v>No</x:v>
      </x:c>
      <x:c r="O92" s="32" t="n">
        <x:v>3</x:v>
      </x:c>
    </x:row>
    <x:row r="93">
      <x:c r="A93" s="30" t="str">
        <x:v>ORD-0092</x:v>
      </x:c>
      <x:c r="B93" s="31" t="n">
        <x:v>45884</x:v>
      </x:c>
      <x:c r="C93" s="30" t="str">
        <x:v>Aug</x:v>
      </x:c>
      <x:c r="D93" s="30" t="str">
        <x:v>East Midlands</x:v>
      </x:c>
      <x:c r="E93" s="30" t="str">
        <x:v>Office Supplies</x:v>
      </x:c>
      <x:c r="F93" s="30" t="str">
        <x:v>Store</x:v>
      </x:c>
      <x:c r="G93" s="32" t="n">
        <x:v>6</x:v>
      </x:c>
      <x:c r="H93" s="33" t="n">
        <x:v>27</x:v>
      </x:c>
      <x:c r="I93" s="33" t="n">
        <x:v>162</x:v>
      </x:c>
      <x:c r="J93" s="33" t="n">
        <x:v>100.44</x:v>
      </x:c>
      <x:c r="K93" s="33" t="n">
        <x:v>61.56</x:v>
      </x:c>
      <x:c r="L93" s="32" t="n">
        <x:v>2</x:v>
      </x:c>
      <x:c r="M93" s="32" t="str">
        <x:v>On Time</x:v>
      </x:c>
      <x:c r="N93" s="32" t="str">
        <x:v>No</x:v>
      </x:c>
      <x:c r="O93" s="32" t="n">
        <x:v>5</x:v>
      </x:c>
    </x:row>
    <x:row r="94">
      <x:c r="A94" s="30" t="str">
        <x:v>ORD-0093</x:v>
      </x:c>
      <x:c r="B94" s="31" t="n">
        <x:v>45922</x:v>
      </x:c>
      <x:c r="C94" s="30" t="str">
        <x:v>Sep</x:v>
      </x:c>
      <x:c r="D94" s="30" t="str">
        <x:v>North West</x:v>
      </x:c>
      <x:c r="E94" s="30" t="str">
        <x:v>Sports</x:v>
      </x:c>
      <x:c r="F94" s="30" t="str">
        <x:v>Marketplace</x:v>
      </x:c>
      <x:c r="G94" s="32" t="n">
        <x:v>5</x:v>
      </x:c>
      <x:c r="H94" s="33" t="n">
        <x:v>64</x:v>
      </x:c>
      <x:c r="I94" s="33" t="n">
        <x:v>320</x:v>
      </x:c>
      <x:c r="J94" s="33" t="n">
        <x:v>227.2</x:v>
      </x:c>
      <x:c r="K94" s="33" t="n">
        <x:v>92.8</x:v>
      </x:c>
      <x:c r="L94" s="32" t="n">
        <x:v>7</x:v>
      </x:c>
      <x:c r="M94" s="32" t="str">
        <x:v>Late</x:v>
      </x:c>
      <x:c r="N94" s="32" t="str">
        <x:v>No</x:v>
      </x:c>
      <x:c r="O94" s="32" t="n">
        <x:v>3</x:v>
      </x:c>
    </x:row>
    <x:row r="95">
      <x:c r="A95" s="30" t="str">
        <x:v>ORD-0094</x:v>
      </x:c>
      <x:c r="B95" s="31" t="n">
        <x:v>45933</x:v>
      </x:c>
      <x:c r="C95" s="30" t="str">
        <x:v>Oct</x:v>
      </x:c>
      <x:c r="D95" s="30" t="str">
        <x:v>London</x:v>
      </x:c>
      <x:c r="E95" s="30" t="str">
        <x:v>Electronics</x:v>
      </x:c>
      <x:c r="F95" s="30" t="str">
        <x:v>Online</x:v>
      </x:c>
      <x:c r="G95" s="32" t="n">
        <x:v>4</x:v>
      </x:c>
      <x:c r="H95" s="33" t="n">
        <x:v>72</x:v>
      </x:c>
      <x:c r="I95" s="33" t="n">
        <x:v>288</x:v>
      </x:c>
      <x:c r="J95" s="33" t="n">
        <x:v>224.64</x:v>
      </x:c>
      <x:c r="K95" s="33" t="n">
        <x:v>63.36</x:v>
      </x:c>
      <x:c r="L95" s="32" t="n">
        <x:v>4</x:v>
      </x:c>
      <x:c r="M95" s="32" t="str">
        <x:v>On Time</x:v>
      </x:c>
      <x:c r="N95" s="32" t="str">
        <x:v>No</x:v>
      </x:c>
      <x:c r="O95" s="32" t="n">
        <x:v>5</x:v>
      </x:c>
    </x:row>
    <x:row r="96">
      <x:c r="A96" s="30" t="str">
        <x:v>ORD-0095</x:v>
      </x:c>
      <x:c r="B96" s="31" t="n">
        <x:v>45971</x:v>
      </x:c>
      <x:c r="C96" s="30" t="str">
        <x:v>Nov</x:v>
      </x:c>
      <x:c r="D96" s="30" t="str">
        <x:v>West Midlands</x:v>
      </x:c>
      <x:c r="E96" s="30" t="str">
        <x:v>Home &amp; Kitchen</x:v>
      </x:c>
      <x:c r="F96" s="30" t="str">
        <x:v>Store</x:v>
      </x:c>
      <x:c r="G96" s="32" t="n">
        <x:v>3</x:v>
      </x:c>
      <x:c r="H96" s="33" t="n">
        <x:v>49</x:v>
      </x:c>
      <x:c r="I96" s="33" t="n">
        <x:v>147</x:v>
      </x:c>
      <x:c r="J96" s="33" t="n">
        <x:v>101.43</x:v>
      </x:c>
      <x:c r="K96" s="33" t="n">
        <x:v>45.57</x:v>
      </x:c>
      <x:c r="L96" s="32" t="n">
        <x:v>1</x:v>
      </x:c>
      <x:c r="M96" s="32" t="str">
        <x:v>On Time</x:v>
      </x:c>
      <x:c r="N96" s="32" t="str">
        <x:v>No</x:v>
      </x:c>
      <x:c r="O96" s="32" t="n">
        <x:v>4</x:v>
      </x:c>
    </x:row>
    <x:row r="97">
      <x:c r="A97" s="30" t="str">
        <x:v>ORD-0096</x:v>
      </x:c>
      <x:c r="B97" s="31" t="n">
        <x:v>46008</x:v>
      </x:c>
      <x:c r="C97" s="30" t="str">
        <x:v>Dec</x:v>
      </x:c>
      <x:c r="D97" s="30" t="str">
        <x:v>East Midlands</x:v>
      </x:c>
      <x:c r="E97" s="30" t="str">
        <x:v>Office Supplies</x:v>
      </x:c>
      <x:c r="F97" s="30" t="str">
        <x:v>Marketplace</x:v>
      </x:c>
      <x:c r="G97" s="32" t="n">
        <x:v>2</x:v>
      </x:c>
      <x:c r="H97" s="33" t="n">
        <x:v>40</x:v>
      </x:c>
      <x:c r="I97" s="33" t="n">
        <x:v>80</x:v>
      </x:c>
      <x:c r="J97" s="33" t="n">
        <x:v>49.6</x:v>
      </x:c>
      <x:c r="K97" s="33" t="n">
        <x:v>30.4</x:v>
      </x:c>
      <x:c r="L97" s="32" t="n">
        <x:v>6</x:v>
      </x:c>
      <x:c r="M97" s="32" t="str">
        <x:v>Late</x:v>
      </x:c>
      <x:c r="N97" s="32" t="str">
        <x:v>No</x:v>
      </x:c>
      <x:c r="O97" s="32" t="n">
        <x:v>4</x:v>
      </x:c>
    </x:row>
    <x:row r="98">
      <x:c r="A98" s="30" t="str">
        <x:v>ORD-0097</x:v>
      </x:c>
      <x:c r="B98" s="31" t="n">
        <x:v>45681</x:v>
      </x:c>
      <x:c r="C98" s="30" t="str">
        <x:v>Jan</x:v>
      </x:c>
      <x:c r="D98" s="30" t="str">
        <x:v>East Midlands</x:v>
      </x:c>
      <x:c r="E98" s="30" t="str">
        <x:v>Electronics</x:v>
      </x:c>
      <x:c r="F98" s="30" t="str">
        <x:v>Online</x:v>
      </x:c>
      <x:c r="G98" s="32" t="n">
        <x:v>1</x:v>
      </x:c>
      <x:c r="H98" s="33" t="n">
        <x:v>74</x:v>
      </x:c>
      <x:c r="I98" s="33" t="n">
        <x:v>74</x:v>
      </x:c>
      <x:c r="J98" s="33" t="n">
        <x:v>57.72</x:v>
      </x:c>
      <x:c r="K98" s="33" t="n">
        <x:v>16.28</x:v>
      </x:c>
      <x:c r="L98" s="32" t="n">
        <x:v>3</x:v>
      </x:c>
      <x:c r="M98" s="32" t="str">
        <x:v>On Time</x:v>
      </x:c>
      <x:c r="N98" s="32" t="str">
        <x:v>No</x:v>
      </x:c>
      <x:c r="O98" s="32" t="n">
        <x:v>4</x:v>
      </x:c>
    </x:row>
    <x:row r="99">
      <x:c r="A99" s="30" t="str">
        <x:v>ORD-0098</x:v>
      </x:c>
      <x:c r="B99" s="31" t="n">
        <x:v>45693</x:v>
      </x:c>
      <x:c r="C99" s="30" t="str">
        <x:v>Feb</x:v>
      </x:c>
      <x:c r="D99" s="30" t="str">
        <x:v>North West</x:v>
      </x:c>
      <x:c r="E99" s="30" t="str">
        <x:v>Home &amp; Kitchen</x:v>
      </x:c>
      <x:c r="F99" s="30" t="str">
        <x:v>Store</x:v>
      </x:c>
      <x:c r="G99" s="32" t="n">
        <x:v>8</x:v>
      </x:c>
      <x:c r="H99" s="33" t="n">
        <x:v>51</x:v>
      </x:c>
      <x:c r="I99" s="33" t="n">
        <x:v>408</x:v>
      </x:c>
      <x:c r="J99" s="33" t="n">
        <x:v>281.52</x:v>
      </x:c>
      <x:c r="K99" s="33" t="n">
        <x:v>126.48</x:v>
      </x:c>
      <x:c r="L99" s="32" t="n">
        <x:v>8</x:v>
      </x:c>
      <x:c r="M99" s="32" t="str">
        <x:v>Late</x:v>
      </x:c>
      <x:c r="N99" s="32" t="str">
        <x:v>No</x:v>
      </x:c>
      <x:c r="O99" s="32" t="n">
        <x:v>4</x:v>
      </x:c>
    </x:row>
    <x:row r="100">
      <x:c r="A100" s="30" t="str">
        <x:v>ORD-0099</x:v>
      </x:c>
      <x:c r="B100" s="31" t="n">
        <x:v>45728</x:v>
      </x:c>
      <x:c r="C100" s="30" t="str">
        <x:v>Mar</x:v>
      </x:c>
      <x:c r="D100" s="30" t="str">
        <x:v>London</x:v>
      </x:c>
      <x:c r="E100" s="30" t="str">
        <x:v>Office Supplies</x:v>
      </x:c>
      <x:c r="F100" s="30" t="str">
        <x:v>Marketplace</x:v>
      </x:c>
      <x:c r="G100" s="32" t="n">
        <x:v>7</x:v>
      </x:c>
      <x:c r="H100" s="33" t="n">
        <x:v>42</x:v>
      </x:c>
      <x:c r="I100" s="33" t="n">
        <x:v>294</x:v>
      </x:c>
      <x:c r="J100" s="33" t="n">
        <x:v>182.28</x:v>
      </x:c>
      <x:c r="K100" s="33" t="n">
        <x:v>111.72</x:v>
      </x:c>
      <x:c r="L100" s="32" t="n">
        <x:v>5</x:v>
      </x:c>
      <x:c r="M100" s="32" t="str">
        <x:v>Late</x:v>
      </x:c>
      <x:c r="N100" s="32" t="str">
        <x:v>No</x:v>
      </x:c>
      <x:c r="O100" s="32" t="n">
        <x:v>3</x:v>
      </x:c>
    </x:row>
    <x:row r="101">
      <x:c r="A101" s="30" t="str">
        <x:v>ORD-0100</x:v>
      </x:c>
      <x:c r="B101" s="31" t="n">
        <x:v>45766</x:v>
      </x:c>
      <x:c r="C101" s="30" t="str">
        <x:v>Apr</x:v>
      </x:c>
      <x:c r="D101" s="30" t="str">
        <x:v>West Midlands</x:v>
      </x:c>
      <x:c r="E101" s="30" t="str">
        <x:v>Sports</x:v>
      </x:c>
      <x:c r="F101" s="30" t="str">
        <x:v>Online</x:v>
      </x:c>
      <x:c r="G101" s="32" t="n">
        <x:v>6</x:v>
      </x:c>
      <x:c r="H101" s="33" t="n">
        <x:v>48</x:v>
      </x:c>
      <x:c r="I101" s="33" t="n">
        <x:v>288</x:v>
      </x:c>
      <x:c r="J101" s="33" t="n">
        <x:v>204.48</x:v>
      </x:c>
      <x:c r="K101" s="33" t="n">
        <x:v>83.52</x:v>
      </x:c>
      <x:c r="L101" s="32" t="n">
        <x:v>3</x:v>
      </x:c>
      <x:c r="M101" s="32" t="str">
        <x:v>On Time</x:v>
      </x:c>
      <x:c r="N101" s="32" t="str">
        <x:v>No</x:v>
      </x:c>
      <x:c r="O101" s="32" t="n">
        <x:v>5</x:v>
      </x:c>
    </x:row>
    <x:row r="102">
      <x:c r="A102" s="30" t="str">
        <x:v>ORD-0101</x:v>
      </x:c>
      <x:c r="B102" s="31" t="n">
        <x:v>45803</x:v>
      </x:c>
      <x:c r="C102" s="30" t="str">
        <x:v>May</x:v>
      </x:c>
      <x:c r="D102" s="30" t="str">
        <x:v>East Midlands</x:v>
      </x:c>
      <x:c r="E102" s="30" t="str">
        <x:v>Electronics</x:v>
      </x:c>
      <x:c r="F102" s="30" t="str">
        <x:v>Online</x:v>
      </x:c>
      <x:c r="G102" s="32" t="n">
        <x:v>5</x:v>
      </x:c>
      <x:c r="H102" s="33" t="n">
        <x:v>87</x:v>
      </x:c>
      <x:c r="I102" s="33" t="n">
        <x:v>435</x:v>
      </x:c>
      <x:c r="J102" s="33" t="n">
        <x:v>339.3</x:v>
      </x:c>
      <x:c r="K102" s="33" t="n">
        <x:v>95.7</x:v>
      </x:c>
      <x:c r="L102" s="32" t="n">
        <x:v>8</x:v>
      </x:c>
      <x:c r="M102" s="32" t="str">
        <x:v>Late</x:v>
      </x:c>
      <x:c r="N102" s="32" t="str">
        <x:v>No</x:v>
      </x:c>
      <x:c r="O102" s="32" t="n">
        <x:v>3</x:v>
      </x:c>
    </x:row>
    <x:row r="103">
      <x:c r="A103" s="30" t="str">
        <x:v>ORD-0102</x:v>
      </x:c>
      <x:c r="B103" s="31" t="n">
        <x:v>45815</x:v>
      </x:c>
      <x:c r="C103" s="30" t="str">
        <x:v>Jun</x:v>
      </x:c>
      <x:c r="D103" s="30" t="str">
        <x:v>North West</x:v>
      </x:c>
      <x:c r="E103" s="30" t="str">
        <x:v>Home &amp; Kitchen</x:v>
      </x:c>
      <x:c r="F103" s="30" t="str">
        <x:v>Store</x:v>
      </x:c>
      <x:c r="G103" s="32" t="n">
        <x:v>4</x:v>
      </x:c>
      <x:c r="H103" s="33" t="n">
        <x:v>64</x:v>
      </x:c>
      <x:c r="I103" s="33" t="n">
        <x:v>256</x:v>
      </x:c>
      <x:c r="J103" s="33" t="n">
        <x:v>176.64</x:v>
      </x:c>
      <x:c r="K103" s="33" t="n">
        <x:v>79.36</x:v>
      </x:c>
      <x:c r="L103" s="32" t="n">
        <x:v>5</x:v>
      </x:c>
      <x:c r="M103" s="32" t="str">
        <x:v>Late</x:v>
      </x:c>
      <x:c r="N103" s="32" t="str">
        <x:v>No</x:v>
      </x:c>
      <x:c r="O103" s="32" t="n">
        <x:v>4</x:v>
      </x:c>
    </x:row>
    <x:row r="104">
      <x:c r="A104" s="30" t="str">
        <x:v>ORD-0103</x:v>
      </x:c>
      <x:c r="B104" s="31" t="n">
        <x:v>45852</x:v>
      </x:c>
      <x:c r="C104" s="30" t="str">
        <x:v>Jul</x:v>
      </x:c>
      <x:c r="D104" s="30" t="str">
        <x:v>London</x:v>
      </x:c>
      <x:c r="E104" s="30" t="str">
        <x:v>Office Supplies</x:v>
      </x:c>
      <x:c r="F104" s="30" t="str">
        <x:v>Marketplace</x:v>
      </x:c>
      <x:c r="G104" s="32" t="n">
        <x:v>3</x:v>
      </x:c>
      <x:c r="H104" s="33" t="n">
        <x:v>24</x:v>
      </x:c>
      <x:c r="I104" s="33" t="n">
        <x:v>72</x:v>
      </x:c>
      <x:c r="J104" s="33" t="n">
        <x:v>44.64</x:v>
      </x:c>
      <x:c r="K104" s="33" t="n">
        <x:v>27.36</x:v>
      </x:c>
      <x:c r="L104" s="32" t="n">
        <x:v>2</x:v>
      </x:c>
      <x:c r="M104" s="32" t="str">
        <x:v>On Time</x:v>
      </x:c>
      <x:c r="N104" s="32" t="str">
        <x:v>No</x:v>
      </x:c>
      <x:c r="O104" s="32" t="n">
        <x:v>4</x:v>
      </x:c>
    </x:row>
    <x:row r="105">
      <x:c r="A105" s="30" t="str">
        <x:v>ORD-0104</x:v>
      </x:c>
      <x:c r="B105" s="31" t="n">
        <x:v>45890</x:v>
      </x:c>
      <x:c r="C105" s="30" t="str">
        <x:v>Aug</x:v>
      </x:c>
      <x:c r="D105" s="30" t="str">
        <x:v>West Midlands</x:v>
      </x:c>
      <x:c r="E105" s="30" t="str">
        <x:v>Sports</x:v>
      </x:c>
      <x:c r="F105" s="30" t="str">
        <x:v>Online</x:v>
      </x:c>
      <x:c r="G105" s="32" t="n">
        <x:v>2</x:v>
      </x:c>
      <x:c r="H105" s="33" t="n">
        <x:v>61</x:v>
      </x:c>
      <x:c r="I105" s="33" t="n">
        <x:v>122</x:v>
      </x:c>
      <x:c r="J105" s="33" t="n">
        <x:v>86.62</x:v>
      </x:c>
      <x:c r="K105" s="33" t="n">
        <x:v>35.38</x:v>
      </x:c>
      <x:c r="L105" s="32" t="n">
        <x:v>7</x:v>
      </x:c>
      <x:c r="M105" s="32" t="str">
        <x:v>Late</x:v>
      </x:c>
      <x:c r="N105" s="32" t="str">
        <x:v>No</x:v>
      </x:c>
      <x:c r="O105" s="32" t="n">
        <x:v>4</x:v>
      </x:c>
    </x:row>
    <x:row r="106">
      <x:c r="A106" s="30" t="str">
        <x:v>ORD-0105</x:v>
      </x:c>
      <x:c r="B106" s="31" t="n">
        <x:v>45902</x:v>
      </x:c>
      <x:c r="C106" s="30" t="str">
        <x:v>Sep</x:v>
      </x:c>
      <x:c r="D106" s="30" t="str">
        <x:v>East Midlands</x:v>
      </x:c>
      <x:c r="E106" s="30" t="str">
        <x:v>Home &amp; Kitchen</x:v>
      </x:c>
      <x:c r="F106" s="30" t="str">
        <x:v>Store</x:v>
      </x:c>
      <x:c r="G106" s="32" t="n">
        <x:v>1</x:v>
      </x:c>
      <x:c r="H106" s="33" t="n">
        <x:v>66</x:v>
      </x:c>
      <x:c r="I106" s="33" t="n">
        <x:v>66</x:v>
      </x:c>
      <x:c r="J106" s="33" t="n">
        <x:v>45.54</x:v>
      </x:c>
      <x:c r="K106" s="33" t="n">
        <x:v>20.46</x:v>
      </x:c>
      <x:c r="L106" s="32" t="n">
        <x:v>4</x:v>
      </x:c>
      <x:c r="M106" s="32" t="str">
        <x:v>On Time</x:v>
      </x:c>
      <x:c r="N106" s="32" t="str">
        <x:v>No</x:v>
      </x:c>
      <x:c r="O106" s="32" t="n">
        <x:v>4</x:v>
      </x:c>
    </x:row>
    <x:row r="107">
      <x:c r="A107" s="30" t="str">
        <x:v>ORD-0106</x:v>
      </x:c>
      <x:c r="B107" s="31" t="n">
        <x:v>45939</x:v>
      </x:c>
      <x:c r="C107" s="30" t="str">
        <x:v>Oct</x:v>
      </x:c>
      <x:c r="D107" s="30" t="str">
        <x:v>North West</x:v>
      </x:c>
      <x:c r="E107" s="30" t="str">
        <x:v>Office Supplies</x:v>
      </x:c>
      <x:c r="F107" s="30" t="str">
        <x:v>Marketplace</x:v>
      </x:c>
      <x:c r="G107" s="32" t="n">
        <x:v>8</x:v>
      </x:c>
      <x:c r="H107" s="33" t="n">
        <x:v>26</x:v>
      </x:c>
      <x:c r="I107" s="33" t="n">
        <x:v>208</x:v>
      </x:c>
      <x:c r="J107" s="33" t="n">
        <x:v>128.96</x:v>
      </x:c>
      <x:c r="K107" s="33" t="n">
        <x:v>79.04</x:v>
      </x:c>
      <x:c r="L107" s="32" t="n">
        <x:v>1</x:v>
      </x:c>
      <x:c r="M107" s="32" t="str">
        <x:v>On Time</x:v>
      </x:c>
      <x:c r="N107" s="32" t="str">
        <x:v>No</x:v>
      </x:c>
      <x:c r="O107" s="32" t="n">
        <x:v>5</x:v>
      </x:c>
    </x:row>
    <x:row r="108">
      <x:c r="A108" s="30" t="str">
        <x:v>ORD-0107</x:v>
      </x:c>
      <x:c r="B108" s="31" t="n">
        <x:v>45977</x:v>
      </x:c>
      <x:c r="C108" s="30" t="str">
        <x:v>Nov</x:v>
      </x:c>
      <x:c r="D108" s="30" t="str">
        <x:v>London</x:v>
      </x:c>
      <x:c r="E108" s="30" t="str">
        <x:v>Sports</x:v>
      </x:c>
      <x:c r="F108" s="30" t="str">
        <x:v>Online</x:v>
      </x:c>
      <x:c r="G108" s="32" t="n">
        <x:v>7</x:v>
      </x:c>
      <x:c r="H108" s="33" t="n">
        <x:v>63</x:v>
      </x:c>
      <x:c r="I108" s="33" t="n">
        <x:v>441</x:v>
      </x:c>
      <x:c r="J108" s="33" t="n">
        <x:v>313.11</x:v>
      </x:c>
      <x:c r="K108" s="33" t="n">
        <x:v>127.89</x:v>
      </x:c>
      <x:c r="L108" s="32" t="n">
        <x:v>6</x:v>
      </x:c>
      <x:c r="M108" s="32" t="str">
        <x:v>Late</x:v>
      </x:c>
      <x:c r="N108" s="32" t="str">
        <x:v>No</x:v>
      </x:c>
      <x:c r="O108" s="32" t="n">
        <x:v>3</x:v>
      </x:c>
    </x:row>
    <x:row r="109">
      <x:c r="A109" s="30" t="str">
        <x:v>ORD-0108</x:v>
      </x:c>
      <x:c r="B109" s="31" t="n">
        <x:v>46014</x:v>
      </x:c>
      <x:c r="C109" s="30" t="str">
        <x:v>Dec</x:v>
      </x:c>
      <x:c r="D109" s="30" t="str">
        <x:v>West Midlands</x:v>
      </x:c>
      <x:c r="E109" s="30" t="str">
        <x:v>Electronics</x:v>
      </x:c>
      <x:c r="F109" s="30" t="str">
        <x:v>Store</x:v>
      </x:c>
      <x:c r="G109" s="32" t="n">
        <x:v>6</x:v>
      </x:c>
      <x:c r="H109" s="33" t="n">
        <x:v>102</x:v>
      </x:c>
      <x:c r="I109" s="33" t="n">
        <x:v>612</x:v>
      </x:c>
      <x:c r="J109" s="33" t="n">
        <x:v>477.36</x:v>
      </x:c>
      <x:c r="K109" s="33" t="n">
        <x:v>134.64</x:v>
      </x:c>
      <x:c r="L109" s="32" t="n">
        <x:v>3</x:v>
      </x:c>
      <x:c r="M109" s="32" t="str">
        <x:v>On Time</x:v>
      </x:c>
      <x:c r="N109" s="32" t="str">
        <x:v>No</x:v>
      </x:c>
      <x:c r="O109" s="32" t="n">
        <x:v>5</x:v>
      </x:c>
    </x:row>
    <x:row r="110">
      <x:c r="A110" s="30" t="str">
        <x:v>ORD-0109</x:v>
      </x:c>
      <x:c r="B110" s="31" t="n">
        <x:v>45661</x:v>
      </x:c>
      <x:c r="C110" s="30" t="str">
        <x:v>Jan</x:v>
      </x:c>
      <x:c r="D110" s="30" t="str">
        <x:v>West Midlands</x:v>
      </x:c>
      <x:c r="E110" s="30" t="str">
        <x:v>Home &amp; Kitchen</x:v>
      </x:c>
      <x:c r="F110" s="30" t="str">
        <x:v>Marketplace</x:v>
      </x:c>
      <x:c r="G110" s="32" t="n">
        <x:v>5</x:v>
      </x:c>
      <x:c r="H110" s="33" t="n">
        <x:v>48</x:v>
      </x:c>
      <x:c r="I110" s="33" t="n">
        <x:v>240</x:v>
      </x:c>
      <x:c r="J110" s="33" t="n">
        <x:v>165.6</x:v>
      </x:c>
      <x:c r="K110" s="33" t="n">
        <x:v>74.4</x:v>
      </x:c>
      <x:c r="L110" s="32" t="n">
        <x:v>1</x:v>
      </x:c>
      <x:c r="M110" s="32" t="str">
        <x:v>On Time</x:v>
      </x:c>
      <x:c r="N110" s="32" t="str">
        <x:v>No</x:v>
      </x:c>
      <x:c r="O110" s="32" t="n">
        <x:v>4</x:v>
      </x:c>
    </x:row>
    <x:row r="111">
      <x:c r="A111" s="30" t="str">
        <x:v>ORD-0110</x:v>
      </x:c>
      <x:c r="B111" s="31" t="n">
        <x:v>45699</x:v>
      </x:c>
      <x:c r="C111" s="30" t="str">
        <x:v>Feb</x:v>
      </x:c>
      <x:c r="D111" s="30" t="str">
        <x:v>East Midlands</x:v>
      </x:c>
      <x:c r="E111" s="30" t="str">
        <x:v>Office Supplies</x:v>
      </x:c>
      <x:c r="F111" s="30" t="str">
        <x:v>Online</x:v>
      </x:c>
      <x:c r="G111" s="32" t="n">
        <x:v>4</x:v>
      </x:c>
      <x:c r="H111" s="33" t="n">
        <x:v>39</x:v>
      </x:c>
      <x:c r="I111" s="33" t="n">
        <x:v>156</x:v>
      </x:c>
      <x:c r="J111" s="33" t="n">
        <x:v>96.72</x:v>
      </x:c>
      <x:c r="K111" s="33" t="n">
        <x:v>59.28</x:v>
      </x:c>
      <x:c r="L111" s="32" t="n">
        <x:v>6</x:v>
      </x:c>
      <x:c r="M111" s="32" t="str">
        <x:v>Late</x:v>
      </x:c>
      <x:c r="N111" s="32" t="str">
        <x:v>No</x:v>
      </x:c>
      <x:c r="O111" s="32" t="n">
        <x:v>4</x:v>
      </x:c>
    </x:row>
    <x:row r="112">
      <x:c r="A112" s="30" t="str">
        <x:v>ORD-0111</x:v>
      </x:c>
      <x:c r="B112" s="31" t="n">
        <x:v>45734</x:v>
      </x:c>
      <x:c r="C112" s="30" t="str">
        <x:v>Mar</x:v>
      </x:c>
      <x:c r="D112" s="30" t="str">
        <x:v>North West</x:v>
      </x:c>
      <x:c r="E112" s="30" t="str">
        <x:v>Sports</x:v>
      </x:c>
      <x:c r="F112" s="30" t="str">
        <x:v>Online</x:v>
      </x:c>
      <x:c r="G112" s="32" t="n">
        <x:v>3</x:v>
      </x:c>
      <x:c r="H112" s="33" t="n">
        <x:v>45</x:v>
      </x:c>
      <x:c r="I112" s="33" t="n">
        <x:v>135</x:v>
      </x:c>
      <x:c r="J112" s="33" t="n">
        <x:v>95.85</x:v>
      </x:c>
      <x:c r="K112" s="33" t="n">
        <x:v>39.15</x:v>
      </x:c>
      <x:c r="L112" s="32" t="n">
        <x:v>3</x:v>
      </x:c>
      <x:c r="M112" s="32" t="str">
        <x:v>On Time</x:v>
      </x:c>
      <x:c r="N112" s="32" t="str">
        <x:v>No</x:v>
      </x:c>
      <x:c r="O112" s="32" t="n">
        <x:v>4</x:v>
      </x:c>
    </x:row>
    <x:row r="113">
      <x:c r="A113" s="30" t="str">
        <x:v>ORD-0112</x:v>
      </x:c>
      <x:c r="B113" s="31" t="n">
        <x:v>45772</x:v>
      </x:c>
      <x:c r="C113" s="30" t="str">
        <x:v>Apr</x:v>
      </x:c>
      <x:c r="D113" s="30" t="str">
        <x:v>London</x:v>
      </x:c>
      <x:c r="E113" s="30" t="str">
        <x:v>Electronics</x:v>
      </x:c>
      <x:c r="F113" s="30" t="str">
        <x:v>Store</x:v>
      </x:c>
      <x:c r="G113" s="32" t="n">
        <x:v>2</x:v>
      </x:c>
      <x:c r="H113" s="33" t="n">
        <x:v>84</x:v>
      </x:c>
      <x:c r="I113" s="33" t="n">
        <x:v>168</x:v>
      </x:c>
      <x:c r="J113" s="33" t="n">
        <x:v>131.04</x:v>
      </x:c>
      <x:c r="K113" s="33" t="n">
        <x:v>36.96</x:v>
      </x:c>
      <x:c r="L113" s="32" t="n">
        <x:v>8</x:v>
      </x:c>
      <x:c r="M113" s="32" t="str">
        <x:v>Late</x:v>
      </x:c>
      <x:c r="N113" s="32" t="str">
        <x:v>No</x:v>
      </x:c>
      <x:c r="O113" s="32" t="n">
        <x:v>4</x:v>
      </x:c>
    </x:row>
    <x:row r="114">
      <x:c r="A114" s="30" t="str">
        <x:v>ORD-0113</x:v>
      </x:c>
      <x:c r="B114" s="31" t="n">
        <x:v>45783</x:v>
      </x:c>
      <x:c r="C114" s="30" t="str">
        <x:v>May</x:v>
      </x:c>
      <x:c r="D114" s="30" t="str">
        <x:v>West Midlands</x:v>
      </x:c>
      <x:c r="E114" s="30" t="str">
        <x:v>Office Supplies</x:v>
      </x:c>
      <x:c r="F114" s="30" t="str">
        <x:v>Marketplace</x:v>
      </x:c>
      <x:c r="G114" s="32" t="n">
        <x:v>1</x:v>
      </x:c>
      <x:c r="H114" s="33" t="n">
        <x:v>41</x:v>
      </x:c>
      <x:c r="I114" s="33" t="n">
        <x:v>41</x:v>
      </x:c>
      <x:c r="J114" s="33" t="n">
        <x:v>25.42</x:v>
      </x:c>
      <x:c r="K114" s="33" t="n">
        <x:v>15.58</x:v>
      </x:c>
      <x:c r="L114" s="32" t="n">
        <x:v>5</x:v>
      </x:c>
      <x:c r="M114" s="32" t="str">
        <x:v>Late</x:v>
      </x:c>
      <x:c r="N114" s="32" t="str">
        <x:v>No</x:v>
      </x:c>
      <x:c r="O114" s="32" t="n">
        <x:v>3</x:v>
      </x:c>
    </x:row>
    <x:row r="115">
      <x:c r="A115" s="30" t="str">
        <x:v>ORD-0114</x:v>
      </x:c>
      <x:c r="B115" s="31" t="n">
        <x:v>45821</x:v>
      </x:c>
      <x:c r="C115" s="30" t="str">
        <x:v>Jun</x:v>
      </x:c>
      <x:c r="D115" s="30" t="str">
        <x:v>East Midlands</x:v>
      </x:c>
      <x:c r="E115" s="30" t="str">
        <x:v>Sports</x:v>
      </x:c>
      <x:c r="F115" s="30" t="str">
        <x:v>Online</x:v>
      </x:c>
      <x:c r="G115" s="32" t="n">
        <x:v>8</x:v>
      </x:c>
      <x:c r="H115" s="33" t="n">
        <x:v>47</x:v>
      </x:c>
      <x:c r="I115" s="33" t="n">
        <x:v>376</x:v>
      </x:c>
      <x:c r="J115" s="33" t="n">
        <x:v>266.96</x:v>
      </x:c>
      <x:c r="K115" s="33" t="n">
        <x:v>109.04</x:v>
      </x:c>
      <x:c r="L115" s="32" t="n">
        <x:v>2</x:v>
      </x:c>
      <x:c r="M115" s="32" t="str">
        <x:v>On Time</x:v>
      </x:c>
      <x:c r="N115" s="32" t="str">
        <x:v>No</x:v>
      </x:c>
      <x:c r="O115" s="32" t="n">
        <x:v>5</x:v>
      </x:c>
    </x:row>
    <x:row r="116">
      <x:c r="A116" s="30" t="str">
        <x:v>ORD-0115</x:v>
      </x:c>
      <x:c r="B116" s="31" t="n">
        <x:v>45858</x:v>
      </x:c>
      <x:c r="C116" s="30" t="str">
        <x:v>Jul</x:v>
      </x:c>
      <x:c r="D116" s="30" t="str">
        <x:v>North West</x:v>
      </x:c>
      <x:c r="E116" s="30" t="str">
        <x:v>Electronics</x:v>
      </x:c>
      <x:c r="F116" s="30" t="str">
        <x:v>Store</x:v>
      </x:c>
      <x:c r="G116" s="32" t="n">
        <x:v>7</x:v>
      </x:c>
      <x:c r="H116" s="33" t="n">
        <x:v>86</x:v>
      </x:c>
      <x:c r="I116" s="33" t="n">
        <x:v>602</x:v>
      </x:c>
      <x:c r="J116" s="33" t="n">
        <x:v>469.56</x:v>
      </x:c>
      <x:c r="K116" s="33" t="n">
        <x:v>132.44</x:v>
      </x:c>
      <x:c r="L116" s="32" t="n">
        <x:v>7</x:v>
      </x:c>
      <x:c r="M116" s="32" t="str">
        <x:v>Late</x:v>
      </x:c>
      <x:c r="N116" s="32" t="str">
        <x:v>No</x:v>
      </x:c>
      <x:c r="O116" s="32" t="n">
        <x:v>3</x:v>
      </x:c>
    </x:row>
    <x:row r="117">
      <x:c r="A117" s="30" t="str">
        <x:v>ORD-0116</x:v>
      </x:c>
      <x:c r="B117" s="31" t="n">
        <x:v>45896</x:v>
      </x:c>
      <x:c r="C117" s="30" t="str">
        <x:v>Aug</x:v>
      </x:c>
      <x:c r="D117" s="30" t="str">
        <x:v>London</x:v>
      </x:c>
      <x:c r="E117" s="30" t="str">
        <x:v>Home &amp; Kitchen</x:v>
      </x:c>
      <x:c r="F117" s="30" t="str">
        <x:v>Marketplace</x:v>
      </x:c>
      <x:c r="G117" s="32" t="n">
        <x:v>6</x:v>
      </x:c>
      <x:c r="H117" s="33" t="n">
        <x:v>63</x:v>
      </x:c>
      <x:c r="I117" s="33" t="n">
        <x:v>378</x:v>
      </x:c>
      <x:c r="J117" s="33" t="n">
        <x:v>260.82</x:v>
      </x:c>
      <x:c r="K117" s="33" t="n">
        <x:v>117.18</x:v>
      </x:c>
      <x:c r="L117" s="32" t="n">
        <x:v>4</x:v>
      </x:c>
      <x:c r="M117" s="32" t="str">
        <x:v>On Time</x:v>
      </x:c>
      <x:c r="N117" s="32" t="str">
        <x:v>No</x:v>
      </x:c>
      <x:c r="O117" s="32" t="n">
        <x:v>5</x:v>
      </x:c>
    </x:row>
    <x:row r="118">
      <x:c r="A118" s="30" t="str">
        <x:v>ORD-0117</x:v>
      </x:c>
      <x:c r="B118" s="31" t="n">
        <x:v>45908</x:v>
      </x:c>
      <x:c r="C118" s="30" t="str">
        <x:v>Sep</x:v>
      </x:c>
      <x:c r="D118" s="30" t="str">
        <x:v>West Midlands</x:v>
      </x:c>
      <x:c r="E118" s="30" t="str">
        <x:v>Office Supplies</x:v>
      </x:c>
      <x:c r="F118" s="30" t="str">
        <x:v>Online</x:v>
      </x:c>
      <x:c r="G118" s="32" t="n">
        <x:v>5</x:v>
      </x:c>
      <x:c r="H118" s="33" t="n">
        <x:v>23</x:v>
      </x:c>
      <x:c r="I118" s="33" t="n">
        <x:v>115</x:v>
      </x:c>
      <x:c r="J118" s="33" t="n">
        <x:v>71.3</x:v>
      </x:c>
      <x:c r="K118" s="33" t="n">
        <x:v>43.7</x:v>
      </x:c>
      <x:c r="L118" s="32" t="n">
        <x:v>1</x:v>
      </x:c>
      <x:c r="M118" s="32" t="str">
        <x:v>On Time</x:v>
      </x:c>
      <x:c r="N118" s="32" t="str">
        <x:v>Yes</x:v>
      </x:c>
      <x:c r="O118" s="32" t="n">
        <x:v>2</x:v>
      </x:c>
    </x:row>
    <x:row r="119">
      <x:c r="A119" s="30" t="str">
        <x:v>ORD-0118</x:v>
      </x:c>
      <x:c r="B119" s="31" t="n">
        <x:v>45945</x:v>
      </x:c>
      <x:c r="C119" s="30" t="str">
        <x:v>Oct</x:v>
      </x:c>
      <x:c r="D119" s="30" t="str">
        <x:v>East Midlands</x:v>
      </x:c>
      <x:c r="E119" s="30" t="str">
        <x:v>Sports</x:v>
      </x:c>
      <x:c r="F119" s="30" t="str">
        <x:v>Store</x:v>
      </x:c>
      <x:c r="G119" s="32" t="n">
        <x:v>4</x:v>
      </x:c>
      <x:c r="H119" s="33" t="n">
        <x:v>60</x:v>
      </x:c>
      <x:c r="I119" s="33" t="n">
        <x:v>240</x:v>
      </x:c>
      <x:c r="J119" s="33" t="n">
        <x:v>170.4</x:v>
      </x:c>
      <x:c r="K119" s="33" t="n">
        <x:v>69.6</x:v>
      </x:c>
      <x:c r="L119" s="32" t="n">
        <x:v>7</x:v>
      </x:c>
      <x:c r="M119" s="32" t="str">
        <x:v>Late</x:v>
      </x:c>
      <x:c r="N119" s="32" t="str">
        <x:v>No</x:v>
      </x:c>
      <x:c r="O119" s="32" t="n">
        <x:v>4</x:v>
      </x:c>
    </x:row>
    <x:row r="120">
      <x:c r="A120" s="30" t="str">
        <x:v>ORD-0119</x:v>
      </x:c>
      <x:c r="B120" s="31" t="n">
        <x:v>45983</x:v>
      </x:c>
      <x:c r="C120" s="30" t="str">
        <x:v>Nov</x:v>
      </x:c>
      <x:c r="D120" s="30" t="str">
        <x:v>North West</x:v>
      </x:c>
      <x:c r="E120" s="30" t="str">
        <x:v>Electronics</x:v>
      </x:c>
      <x:c r="F120" s="30" t="str">
        <x:v>Marketplace</x:v>
      </x:c>
      <x:c r="G120" s="32" t="n">
        <x:v>3</x:v>
      </x:c>
      <x:c r="H120" s="33" t="n">
        <x:v>99</x:v>
      </x:c>
      <x:c r="I120" s="33" t="n">
        <x:v>297</x:v>
      </x:c>
      <x:c r="J120" s="33" t="n">
        <x:v>231.66</x:v>
      </x:c>
      <x:c r="K120" s="33" t="n">
        <x:v>65.34</x:v>
      </x:c>
      <x:c r="L120" s="32" t="n">
        <x:v>4</x:v>
      </x:c>
      <x:c r="M120" s="32" t="str">
        <x:v>On Time</x:v>
      </x:c>
      <x:c r="N120" s="32" t="str">
        <x:v>No</x:v>
      </x:c>
      <x:c r="O120" s="32" t="n">
        <x:v>4</x:v>
      </x:c>
    </x:row>
    <x:row r="121">
      <x:c r="A121" s="30" t="str">
        <x:v>ORD-0120</x:v>
      </x:c>
      <x:c r="B121" s="31" t="n">
        <x:v>45994</x:v>
      </x:c>
      <x:c r="C121" s="30" t="str">
        <x:v>Dec</x:v>
      </x:c>
      <x:c r="D121" s="30" t="str">
        <x:v>London</x:v>
      </x:c>
      <x:c r="E121" s="30" t="str">
        <x:v>Home &amp; Kitchen</x:v>
      </x:c>
      <x:c r="F121" s="30" t="str">
        <x:v>Online</x:v>
      </x:c>
      <x:c r="G121" s="32" t="n">
        <x:v>2</x:v>
      </x:c>
      <x:c r="H121" s="33" t="n">
        <x:v>45</x:v>
      </x:c>
      <x:c r="I121" s="33" t="n">
        <x:v>90</x:v>
      </x:c>
      <x:c r="J121" s="33" t="n">
        <x:v>62.1</x:v>
      </x:c>
      <x:c r="K121" s="33" t="n">
        <x:v>27.9</x:v>
      </x:c>
      <x:c r="L121" s="32" t="n">
        <x:v>1</x:v>
      </x:c>
      <x:c r="M121" s="32" t="str">
        <x:v>On Time</x:v>
      </x:c>
      <x:c r="N121" s="32" t="str">
        <x:v>No</x:v>
      </x:c>
      <x:c r="O121" s="32" t="n">
        <x:v>5</x:v>
      </x:c>
    </x:row>
    <x:row r="122">
      <x:c r="A122" s="30" t="str">
        <x:v>ORD-0121</x:v>
      </x:c>
      <x:c r="B122" s="31" t="n">
        <x:v>45667</x:v>
      </x:c>
      <x:c r="C122" s="30" t="str">
        <x:v>Jan</x:v>
      </x:c>
      <x:c r="D122" s="30" t="str">
        <x:v>London</x:v>
      </x:c>
      <x:c r="E122" s="30" t="str">
        <x:v>Sports</x:v>
      </x:c>
      <x:c r="F122" s="30" t="str">
        <x:v>Online</x:v>
      </x:c>
      <x:c r="G122" s="32" t="n">
        <x:v>1</x:v>
      </x:c>
      <x:c r="H122" s="33" t="n">
        <x:v>62</x:v>
      </x:c>
      <x:c r="I122" s="33" t="n">
        <x:v>62</x:v>
      </x:c>
      <x:c r="J122" s="33" t="n">
        <x:v>44.02</x:v>
      </x:c>
      <x:c r="K122" s="33" t="n">
        <x:v>17.98</x:v>
      </x:c>
      <x:c r="L122" s="32" t="n">
        <x:v>6</x:v>
      </x:c>
      <x:c r="M122" s="32" t="str">
        <x:v>Late</x:v>
      </x:c>
      <x:c r="N122" s="32" t="str">
        <x:v>No</x:v>
      </x:c>
      <x:c r="O122" s="32" t="n">
        <x:v>3</x:v>
      </x:c>
    </x:row>
    <x:row r="123">
      <x:c r="A123" s="30" t="str">
        <x:v>ORD-0122</x:v>
      </x:c>
      <x:c r="B123" s="31" t="n">
        <x:v>45705</x:v>
      </x:c>
      <x:c r="C123" s="30" t="str">
        <x:v>Feb</x:v>
      </x:c>
      <x:c r="D123" s="30" t="str">
        <x:v>West Midlands</x:v>
      </x:c>
      <x:c r="E123" s="30" t="str">
        <x:v>Electronics</x:v>
      </x:c>
      <x:c r="F123" s="30" t="str">
        <x:v>Store</x:v>
      </x:c>
      <x:c r="G123" s="32" t="n">
        <x:v>8</x:v>
      </x:c>
      <x:c r="H123" s="33" t="n">
        <x:v>101</x:v>
      </x:c>
      <x:c r="I123" s="33" t="n">
        <x:v>808</x:v>
      </x:c>
      <x:c r="J123" s="33" t="n">
        <x:v>630.24</x:v>
      </x:c>
      <x:c r="K123" s="33" t="n">
        <x:v>177.76</x:v>
      </x:c>
      <x:c r="L123" s="32" t="n">
        <x:v>3</x:v>
      </x:c>
      <x:c r="M123" s="32" t="str">
        <x:v>On Time</x:v>
      </x:c>
      <x:c r="N123" s="32" t="str">
        <x:v>No</x:v>
      </x:c>
      <x:c r="O123" s="32" t="n">
        <x:v>5</x:v>
      </x:c>
    </x:row>
    <x:row r="124">
      <x:c r="A124" s="30" t="str">
        <x:v>ORD-0123</x:v>
      </x:c>
      <x:c r="B124" s="31" t="n">
        <x:v>45740</x:v>
      </x:c>
      <x:c r="C124" s="30" t="str">
        <x:v>Mar</x:v>
      </x:c>
      <x:c r="D124" s="30" t="str">
        <x:v>East Midlands</x:v>
      </x:c>
      <x:c r="E124" s="30" t="str">
        <x:v>Home &amp; Kitchen</x:v>
      </x:c>
      <x:c r="F124" s="30" t="str">
        <x:v>Marketplace</x:v>
      </x:c>
      <x:c r="G124" s="32" t="n">
        <x:v>7</x:v>
      </x:c>
      <x:c r="H124" s="33" t="n">
        <x:v>47</x:v>
      </x:c>
      <x:c r="I124" s="33" t="n">
        <x:v>329</x:v>
      </x:c>
      <x:c r="J124" s="33" t="n">
        <x:v>227.01</x:v>
      </x:c>
      <x:c r="K124" s="33" t="n">
        <x:v>101.99</x:v>
      </x:c>
      <x:c r="L124" s="32" t="n">
        <x:v>8</x:v>
      </x:c>
      <x:c r="M124" s="32" t="str">
        <x:v>Late</x:v>
      </x:c>
      <x:c r="N124" s="32" t="str">
        <x:v>No</x:v>
      </x:c>
      <x:c r="O124" s="32" t="n">
        <x:v>3</x:v>
      </x:c>
    </x:row>
    <x:row r="125">
      <x:c r="A125" s="30" t="str">
        <x:v>ORD-0124</x:v>
      </x:c>
      <x:c r="B125" s="31" t="n">
        <x:v>45752</x:v>
      </x:c>
      <x:c r="C125" s="30" t="str">
        <x:v>Apr</x:v>
      </x:c>
      <x:c r="D125" s="30" t="str">
        <x:v>North West</x:v>
      </x:c>
      <x:c r="E125" s="30" t="str">
        <x:v>Office Supplies</x:v>
      </x:c>
      <x:c r="F125" s="30" t="str">
        <x:v>Online</x:v>
      </x:c>
      <x:c r="G125" s="32" t="n">
        <x:v>6</x:v>
      </x:c>
      <x:c r="H125" s="33" t="n">
        <x:v>38</x:v>
      </x:c>
      <x:c r="I125" s="33" t="n">
        <x:v>228</x:v>
      </x:c>
      <x:c r="J125" s="33" t="n">
        <x:v>141.36</x:v>
      </x:c>
      <x:c r="K125" s="33" t="n">
        <x:v>86.64</x:v>
      </x:c>
      <x:c r="L125" s="32" t="n">
        <x:v>5</x:v>
      </x:c>
      <x:c r="M125" s="32" t="str">
        <x:v>Late</x:v>
      </x:c>
      <x:c r="N125" s="32" t="str">
        <x:v>No</x:v>
      </x:c>
      <x:c r="O125" s="32" t="n">
        <x:v>4</x:v>
      </x:c>
    </x:row>
    <x:row r="126">
      <x:c r="A126" s="30" t="str">
        <x:v>ORD-0125</x:v>
      </x:c>
      <x:c r="B126" s="31" t="n">
        <x:v>45789</x:v>
      </x:c>
      <x:c r="C126" s="30" t="str">
        <x:v>May</x:v>
      </x:c>
      <x:c r="D126" s="30" t="str">
        <x:v>London</x:v>
      </x:c>
      <x:c r="E126" s="30" t="str">
        <x:v>Sports</x:v>
      </x:c>
      <x:c r="F126" s="30" t="str">
        <x:v>Store</x:v>
      </x:c>
      <x:c r="G126" s="32" t="n">
        <x:v>5</x:v>
      </x:c>
      <x:c r="H126" s="33" t="n">
        <x:v>44</x:v>
      </x:c>
      <x:c r="I126" s="33" t="n">
        <x:v>220</x:v>
      </x:c>
      <x:c r="J126" s="33" t="n">
        <x:v>156.2</x:v>
      </x:c>
      <x:c r="K126" s="33" t="n">
        <x:v>63.8</x:v>
      </x:c>
      <x:c r="L126" s="32" t="n">
        <x:v>2</x:v>
      </x:c>
      <x:c r="M126" s="32" t="str">
        <x:v>On Time</x:v>
      </x:c>
      <x:c r="N126" s="32" t="str">
        <x:v>No</x:v>
      </x:c>
      <x:c r="O126" s="32" t="n">
        <x:v>4</x:v>
      </x:c>
    </x:row>
    <x:row r="127">
      <x:c r="A127" s="30" t="str">
        <x:v>ORD-0126</x:v>
      </x:c>
      <x:c r="B127" s="31" t="n">
        <x:v>45827</x:v>
      </x:c>
      <x:c r="C127" s="30" t="str">
        <x:v>Jun</x:v>
      </x:c>
      <x:c r="D127" s="30" t="str">
        <x:v>West Midlands</x:v>
      </x:c>
      <x:c r="E127" s="30" t="str">
        <x:v>Electronics</x:v>
      </x:c>
      <x:c r="F127" s="30" t="str">
        <x:v>Marketplace</x:v>
      </x:c>
      <x:c r="G127" s="32" t="n">
        <x:v>4</x:v>
      </x:c>
      <x:c r="H127" s="33" t="n">
        <x:v>83</x:v>
      </x:c>
      <x:c r="I127" s="33" t="n">
        <x:v>332</x:v>
      </x:c>
      <x:c r="J127" s="33" t="n">
        <x:v>258.96</x:v>
      </x:c>
      <x:c r="K127" s="33" t="n">
        <x:v>73.04</x:v>
      </x:c>
      <x:c r="L127" s="32" t="n">
        <x:v>7</x:v>
      </x:c>
      <x:c r="M127" s="32" t="str">
        <x:v>Late</x:v>
      </x:c>
      <x:c r="N127" s="32" t="str">
        <x:v>No</x:v>
      </x:c>
      <x:c r="O127" s="32" t="n">
        <x:v>4</x:v>
      </x:c>
    </x:row>
    <x:row r="128">
      <x:c r="A128" s="30" t="str">
        <x:v>ORD-0127</x:v>
      </x:c>
      <x:c r="B128" s="31" t="n">
        <x:v>45864</x:v>
      </x:c>
      <x:c r="C128" s="30" t="str">
        <x:v>Jul</x:v>
      </x:c>
      <x:c r="D128" s="30" t="str">
        <x:v>East Midlands</x:v>
      </x:c>
      <x:c r="E128" s="30" t="str">
        <x:v>Home &amp; Kitchen</x:v>
      </x:c>
      <x:c r="F128" s="30" t="str">
        <x:v>Online</x:v>
      </x:c>
      <x:c r="G128" s="32" t="n">
        <x:v>3</x:v>
      </x:c>
      <x:c r="H128" s="33" t="n">
        <x:v>60</x:v>
      </x:c>
      <x:c r="I128" s="33" t="n">
        <x:v>180</x:v>
      </x:c>
      <x:c r="J128" s="33" t="n">
        <x:v>124.2</x:v>
      </x:c>
      <x:c r="K128" s="33" t="n">
        <x:v>55.8</x:v>
      </x:c>
      <x:c r="L128" s="32" t="n">
        <x:v>5</x:v>
      </x:c>
      <x:c r="M128" s="32" t="str">
        <x:v>Late</x:v>
      </x:c>
      <x:c r="N128" s="32" t="str">
        <x:v>No</x:v>
      </x:c>
      <x:c r="O128" s="32" t="n">
        <x:v>3</x:v>
      </x:c>
    </x:row>
    <x:row r="129">
      <x:c r="A129" s="30" t="str">
        <x:v>ORD-0128</x:v>
      </x:c>
      <x:c r="B129" s="31" t="n">
        <x:v>45876</x:v>
      </x:c>
      <x:c r="C129" s="30" t="str">
        <x:v>Aug</x:v>
      </x:c>
      <x:c r="D129" s="30" t="str">
        <x:v>North West</x:v>
      </x:c>
      <x:c r="E129" s="30" t="str">
        <x:v>Office Supplies</x:v>
      </x:c>
      <x:c r="F129" s="30" t="str">
        <x:v>Store</x:v>
      </x:c>
      <x:c r="G129" s="32" t="n">
        <x:v>2</x:v>
      </x:c>
      <x:c r="H129" s="33" t="n">
        <x:v>20</x:v>
      </x:c>
      <x:c r="I129" s="33" t="n">
        <x:v>40</x:v>
      </x:c>
      <x:c r="J129" s="33" t="n">
        <x:v>24.8</x:v>
      </x:c>
      <x:c r="K129" s="33" t="n">
        <x:v>15.2</x:v>
      </x:c>
      <x:c r="L129" s="32" t="n">
        <x:v>2</x:v>
      </x:c>
      <x:c r="M129" s="32" t="str">
        <x:v>On Time</x:v>
      </x:c>
      <x:c r="N129" s="32" t="str">
        <x:v>No</x:v>
      </x:c>
      <x:c r="O129" s="32" t="n">
        <x:v>5</x:v>
      </x:c>
    </x:row>
    <x:row r="130">
      <x:c r="A130" s="30" t="str">
        <x:v>ORD-0129</x:v>
      </x:c>
      <x:c r="B130" s="31" t="n">
        <x:v>45914</x:v>
      </x:c>
      <x:c r="C130" s="30" t="str">
        <x:v>Sep</x:v>
      </x:c>
      <x:c r="D130" s="30" t="str">
        <x:v>London</x:v>
      </x:c>
      <x:c r="E130" s="30" t="str">
        <x:v>Electronics</x:v>
      </x:c>
      <x:c r="F130" s="30" t="str">
        <x:v>Marketplace</x:v>
      </x:c>
      <x:c r="G130" s="32" t="n">
        <x:v>1</x:v>
      </x:c>
      <x:c r="H130" s="33" t="n">
        <x:v>85</x:v>
      </x:c>
      <x:c r="I130" s="33" t="n">
        <x:v>85</x:v>
      </x:c>
      <x:c r="J130" s="33" t="n">
        <x:v>66.3</x:v>
      </x:c>
      <x:c r="K130" s="33" t="n">
        <x:v>18.7</x:v>
      </x:c>
      <x:c r="L130" s="32" t="n">
        <x:v>7</x:v>
      </x:c>
      <x:c r="M130" s="32" t="str">
        <x:v>Late</x:v>
      </x:c>
      <x:c r="N130" s="32" t="str">
        <x:v>No</x:v>
      </x:c>
      <x:c r="O130" s="32" t="n">
        <x:v>3</x:v>
      </x:c>
    </x:row>
    <x:row r="131">
      <x:c r="A131" s="30" t="str">
        <x:v>ORD-0130</x:v>
      </x:c>
      <x:c r="B131" s="31" t="n">
        <x:v>45951</x:v>
      </x:c>
      <x:c r="C131" s="30" t="str">
        <x:v>Oct</x:v>
      </x:c>
      <x:c r="D131" s="30" t="str">
        <x:v>West Midlands</x:v>
      </x:c>
      <x:c r="E131" s="30" t="str">
        <x:v>Home &amp; Kitchen</x:v>
      </x:c>
      <x:c r="F131" s="30" t="str">
        <x:v>Online</x:v>
      </x:c>
      <x:c r="G131" s="32" t="n">
        <x:v>8</x:v>
      </x:c>
      <x:c r="H131" s="33" t="n">
        <x:v>62</x:v>
      </x:c>
      <x:c r="I131" s="33" t="n">
        <x:v>496</x:v>
      </x:c>
      <x:c r="J131" s="33" t="n">
        <x:v>342.24</x:v>
      </x:c>
      <x:c r="K131" s="33" t="n">
        <x:v>153.76</x:v>
      </x:c>
      <x:c r="L131" s="32" t="n">
        <x:v>4</x:v>
      </x:c>
      <x:c r="M131" s="32" t="str">
        <x:v>On Time</x:v>
      </x:c>
      <x:c r="N131" s="32" t="str">
        <x:v>No</x:v>
      </x:c>
      <x:c r="O131" s="32" t="n">
        <x:v>5</x:v>
      </x:c>
    </x:row>
    <x:row r="132">
      <x:c r="A132" s="30" t="str">
        <x:v>ORD-0131</x:v>
      </x:c>
      <x:c r="B132" s="31" t="n">
        <x:v>45963</x:v>
      </x:c>
      <x:c r="C132" s="30" t="str">
        <x:v>Nov</x:v>
      </x:c>
      <x:c r="D132" s="30" t="str">
        <x:v>East Midlands</x:v>
      </x:c>
      <x:c r="E132" s="30" t="str">
        <x:v>Office Supplies</x:v>
      </x:c>
      <x:c r="F132" s="30" t="str">
        <x:v>Online</x:v>
      </x:c>
      <x:c r="G132" s="32" t="n">
        <x:v>7</x:v>
      </x:c>
      <x:c r="H132" s="33" t="n">
        <x:v>22</x:v>
      </x:c>
      <x:c r="I132" s="33" t="n">
        <x:v>154</x:v>
      </x:c>
      <x:c r="J132" s="33" t="n">
        <x:v>95.48</x:v>
      </x:c>
      <x:c r="K132" s="33" t="n">
        <x:v>58.52</x:v>
      </x:c>
      <x:c r="L132" s="32" t="n">
        <x:v>1</x:v>
      </x:c>
      <x:c r="M132" s="32" t="str">
        <x:v>On Time</x:v>
      </x:c>
      <x:c r="N132" s="32" t="str">
        <x:v>No</x:v>
      </x:c>
      <x:c r="O132" s="32" t="n">
        <x:v>4</x:v>
      </x:c>
    </x:row>
    <x:row r="133">
      <x:c r="A133" s="30" t="str">
        <x:v>ORD-0132</x:v>
      </x:c>
      <x:c r="B133" s="31" t="n">
        <x:v>46000</x:v>
      </x:c>
      <x:c r="C133" s="30" t="str">
        <x:v>Dec</x:v>
      </x:c>
      <x:c r="D133" s="30" t="str">
        <x:v>North West</x:v>
      </x:c>
      <x:c r="E133" s="30" t="str">
        <x:v>Sports</x:v>
      </x:c>
      <x:c r="F133" s="30" t="str">
        <x:v>Store</x:v>
      </x:c>
      <x:c r="G133" s="32" t="n">
        <x:v>6</x:v>
      </x:c>
      <x:c r="H133" s="33" t="n">
        <x:v>59</x:v>
      </x:c>
      <x:c r="I133" s="33" t="n">
        <x:v>354</x:v>
      </x:c>
      <x:c r="J133" s="33" t="n">
        <x:v>251.34</x:v>
      </x:c>
      <x:c r="K133" s="33" t="n">
        <x:v>102.66</x:v>
      </x:c>
      <x:c r="L133" s="32" t="n">
        <x:v>6</x:v>
      </x:c>
      <x:c r="M133" s="32" t="str">
        <x:v>Late</x:v>
      </x:c>
      <x:c r="N133" s="32" t="str">
        <x:v>No</x:v>
      </x:c>
      <x:c r="O133" s="32" t="n">
        <x:v>4</x:v>
      </x:c>
    </x:row>
    <x:row r="134">
      <x:c r="A134" s="30" t="str">
        <x:v>ORD-0133</x:v>
      </x:c>
      <x:c r="B134" s="31" t="n">
        <x:v>45673</x:v>
      </x:c>
      <x:c r="C134" s="30" t="str">
        <x:v>Jan</x:v>
      </x:c>
      <x:c r="D134" s="30" t="str">
        <x:v>North West</x:v>
      </x:c>
      <x:c r="E134" s="30" t="str">
        <x:v>Electronics</x:v>
      </x:c>
      <x:c r="F134" s="30" t="str">
        <x:v>Marketplace</x:v>
      </x:c>
      <x:c r="G134" s="32" t="n">
        <x:v>5</x:v>
      </x:c>
      <x:c r="H134" s="33" t="n">
        <x:v>98</x:v>
      </x:c>
      <x:c r="I134" s="33" t="n">
        <x:v>490</x:v>
      </x:c>
      <x:c r="J134" s="33" t="n">
        <x:v>382.2</x:v>
      </x:c>
      <x:c r="K134" s="33" t="n">
        <x:v>107.8</x:v>
      </x:c>
      <x:c r="L134" s="32" t="n">
        <x:v>3</x:v>
      </x:c>
      <x:c r="M134" s="32" t="str">
        <x:v>On Time</x:v>
      </x:c>
      <x:c r="N134" s="32" t="str">
        <x:v>No</x:v>
      </x:c>
      <x:c r="O134" s="32" t="n">
        <x:v>4</x:v>
      </x:c>
    </x:row>
    <x:row r="135">
      <x:c r="A135" s="30" t="str">
        <x:v>ORD-0134</x:v>
      </x:c>
      <x:c r="B135" s="31" t="n">
        <x:v>45711</x:v>
      </x:c>
      <x:c r="C135" s="30" t="str">
        <x:v>Feb</x:v>
      </x:c>
      <x:c r="D135" s="30" t="str">
        <x:v>London</x:v>
      </x:c>
      <x:c r="E135" s="30" t="str">
        <x:v>Home &amp; Kitchen</x:v>
      </x:c>
      <x:c r="F135" s="30" t="str">
        <x:v>Online</x:v>
      </x:c>
      <x:c r="G135" s="32" t="n">
        <x:v>4</x:v>
      </x:c>
      <x:c r="H135" s="33" t="n">
        <x:v>44</x:v>
      </x:c>
      <x:c r="I135" s="33" t="n">
        <x:v>176</x:v>
      </x:c>
      <x:c r="J135" s="33" t="n">
        <x:v>121.44</x:v>
      </x:c>
      <x:c r="K135" s="33" t="n">
        <x:v>54.56</x:v>
      </x:c>
      <x:c r="L135" s="32" t="n">
        <x:v>8</x:v>
      </x:c>
      <x:c r="M135" s="32" t="str">
        <x:v>Late</x:v>
      </x:c>
      <x:c r="N135" s="32" t="str">
        <x:v>No</x:v>
      </x:c>
      <x:c r="O135" s="32" t="n">
        <x:v>4</x:v>
      </x:c>
    </x:row>
    <x:row r="136">
      <x:c r="A136" s="30" t="str">
        <x:v>ORD-0135</x:v>
      </x:c>
      <x:c r="B136" s="31" t="n">
        <x:v>45720</x:v>
      </x:c>
      <x:c r="C136" s="30" t="str">
        <x:v>Mar</x:v>
      </x:c>
      <x:c r="D136" s="30" t="str">
        <x:v>West Midlands</x:v>
      </x:c>
      <x:c r="E136" s="30" t="str">
        <x:v>Office Supplies</x:v>
      </x:c>
      <x:c r="F136" s="30" t="str">
        <x:v>Store</x:v>
      </x:c>
      <x:c r="G136" s="32" t="n">
        <x:v>3</x:v>
      </x:c>
      <x:c r="H136" s="33" t="n">
        <x:v>35</x:v>
      </x:c>
      <x:c r="I136" s="33" t="n">
        <x:v>105</x:v>
      </x:c>
      <x:c r="J136" s="33" t="n">
        <x:v>65.1</x:v>
      </x:c>
      <x:c r="K136" s="33" t="n">
        <x:v>39.9</x:v>
      </x:c>
      <x:c r="L136" s="32" t="n">
        <x:v>5</x:v>
      </x:c>
      <x:c r="M136" s="32" t="str">
        <x:v>Late</x:v>
      </x:c>
      <x:c r="N136" s="32" t="str">
        <x:v>No</x:v>
      </x:c>
      <x:c r="O136" s="32" t="n">
        <x:v>3</x:v>
      </x:c>
    </x:row>
    <x:row r="137">
      <x:c r="A137" s="30" t="str">
        <x:v>ORD-0136</x:v>
      </x:c>
      <x:c r="B137" s="31" t="n">
        <x:v>45758</x:v>
      </x:c>
      <x:c r="C137" s="30" t="str">
        <x:v>Apr</x:v>
      </x:c>
      <x:c r="D137" s="30" t="str">
        <x:v>East Midlands</x:v>
      </x:c>
      <x:c r="E137" s="30" t="str">
        <x:v>Sports</x:v>
      </x:c>
      <x:c r="F137" s="30" t="str">
        <x:v>Marketplace</x:v>
      </x:c>
      <x:c r="G137" s="32" t="n">
        <x:v>2</x:v>
      </x:c>
      <x:c r="H137" s="33" t="n">
        <x:v>72</x:v>
      </x:c>
      <x:c r="I137" s="33" t="n">
        <x:v>144</x:v>
      </x:c>
      <x:c r="J137" s="33" t="n">
        <x:v>102.24</x:v>
      </x:c>
      <x:c r="K137" s="33" t="n">
        <x:v>41.76</x:v>
      </x:c>
      <x:c r="L137" s="32" t="n">
        <x:v>3</x:v>
      </x:c>
      <x:c r="M137" s="32" t="str">
        <x:v>On Time</x:v>
      </x:c>
      <x:c r="N137" s="32" t="str">
        <x:v>No</x:v>
      </x:c>
      <x:c r="O137" s="32" t="n">
        <x:v>5</x:v>
      </x:c>
    </x:row>
    <x:row r="138">
      <x:c r="A138" s="30" t="str">
        <x:v>ORD-0137</x:v>
      </x:c>
      <x:c r="B138" s="31" t="n">
        <x:v>45795</x:v>
      </x:c>
      <x:c r="C138" s="30" t="str">
        <x:v>May</x:v>
      </x:c>
      <x:c r="D138" s="30" t="str">
        <x:v>North West</x:v>
      </x:c>
      <x:c r="E138" s="30" t="str">
        <x:v>Home &amp; Kitchen</x:v>
      </x:c>
      <x:c r="F138" s="30" t="str">
        <x:v>Online</x:v>
      </x:c>
      <x:c r="G138" s="32" t="n">
        <x:v>1</x:v>
      </x:c>
      <x:c r="H138" s="33" t="n">
        <x:v>46</x:v>
      </x:c>
      <x:c r="I138" s="33" t="n">
        <x:v>46</x:v>
      </x:c>
      <x:c r="J138" s="33" t="n">
        <x:v>31.74</x:v>
      </x:c>
      <x:c r="K138" s="33" t="n">
        <x:v>14.26</x:v>
      </x:c>
      <x:c r="L138" s="32" t="n">
        <x:v>8</x:v>
      </x:c>
      <x:c r="M138" s="32" t="str">
        <x:v>Late</x:v>
      </x:c>
      <x:c r="N138" s="32" t="str">
        <x:v>Yes</x:v>
      </x:c>
      <x:c r="O138" s="32" t="n">
        <x:v>2</x:v>
      </x:c>
    </x:row>
    <x:row r="139">
      <x:c r="A139" s="30" t="str">
        <x:v>ORD-0138</x:v>
      </x:c>
      <x:c r="B139" s="31" t="n">
        <x:v>45833</x:v>
      </x:c>
      <x:c r="C139" s="30" t="str">
        <x:v>Jun</x:v>
      </x:c>
      <x:c r="D139" s="30" t="str">
        <x:v>London</x:v>
      </x:c>
      <x:c r="E139" s="30" t="str">
        <x:v>Office Supplies</x:v>
      </x:c>
      <x:c r="F139" s="30" t="str">
        <x:v>Store</x:v>
      </x:c>
      <x:c r="G139" s="32" t="n">
        <x:v>8</x:v>
      </x:c>
      <x:c r="H139" s="33" t="n">
        <x:v>37</x:v>
      </x:c>
      <x:c r="I139" s="33" t="n">
        <x:v>296</x:v>
      </x:c>
      <x:c r="J139" s="33" t="n">
        <x:v>183.52</x:v>
      </x:c>
      <x:c r="K139" s="33" t="n">
        <x:v>112.48</x:v>
      </x:c>
      <x:c r="L139" s="32" t="n">
        <x:v>5</x:v>
      </x:c>
      <x:c r="M139" s="32" t="str">
        <x:v>Late</x:v>
      </x:c>
      <x:c r="N139" s="32" t="str">
        <x:v>No</x:v>
      </x:c>
      <x:c r="O139" s="32" t="n">
        <x:v>4</x:v>
      </x:c>
    </x:row>
    <x:row r="140">
      <x:c r="A140" s="30" t="str">
        <x:v>ORD-0139</x:v>
      </x:c>
      <x:c r="B140" s="31" t="n">
        <x:v>45844</x:v>
      </x:c>
      <x:c r="C140" s="30" t="str">
        <x:v>Jul</x:v>
      </x:c>
      <x:c r="D140" s="30" t="str">
        <x:v>West Midlands</x:v>
      </x:c>
      <x:c r="E140" s="30" t="str">
        <x:v>Sports</x:v>
      </x:c>
      <x:c r="F140" s="30" t="str">
        <x:v>Marketplace</x:v>
      </x:c>
      <x:c r="G140" s="32" t="n">
        <x:v>7</x:v>
      </x:c>
      <x:c r="H140" s="33" t="n">
        <x:v>74</x:v>
      </x:c>
      <x:c r="I140" s="33" t="n">
        <x:v>518</x:v>
      </x:c>
      <x:c r="J140" s="33" t="n">
        <x:v>367.78</x:v>
      </x:c>
      <x:c r="K140" s="33" t="n">
        <x:v>150.22</x:v>
      </x:c>
      <x:c r="L140" s="32" t="n">
        <x:v>2</x:v>
      </x:c>
      <x:c r="M140" s="32" t="str">
        <x:v>On Time</x:v>
      </x:c>
      <x:c r="N140" s="32" t="str">
        <x:v>No</x:v>
      </x:c>
      <x:c r="O140" s="32" t="n">
        <x:v>4</x:v>
      </x:c>
    </x:row>
    <x:row r="141">
      <x:c r="A141" s="30" t="str">
        <x:v>ORD-0140</x:v>
      </x:c>
      <x:c r="B141" s="31" t="n">
        <x:v>45882</x:v>
      </x:c>
      <x:c r="C141" s="30" t="str">
        <x:v>Aug</x:v>
      </x:c>
      <x:c r="D141" s="30" t="str">
        <x:v>East Midlands</x:v>
      </x:c>
      <x:c r="E141" s="30" t="str">
        <x:v>Electronics</x:v>
      </x:c>
      <x:c r="F141" s="30" t="str">
        <x:v>Online</x:v>
      </x:c>
      <x:c r="G141" s="32" t="n">
        <x:v>6</x:v>
      </x:c>
      <x:c r="H141" s="33" t="n">
        <x:v>82</x:v>
      </x:c>
      <x:c r="I141" s="33" t="n">
        <x:v>492</x:v>
      </x:c>
      <x:c r="J141" s="33" t="n">
        <x:v>383.76</x:v>
      </x:c>
      <x:c r="K141" s="33" t="n">
        <x:v>108.24</x:v>
      </x:c>
      <x:c r="L141" s="32" t="n">
        <x:v>7</x:v>
      </x:c>
      <x:c r="M141" s="32" t="str">
        <x:v>Late</x:v>
      </x:c>
      <x:c r="N141" s="32" t="str">
        <x:v>No</x:v>
      </x:c>
      <x:c r="O141" s="32" t="n">
        <x:v>4</x:v>
      </x:c>
    </x:row>
    <x:row r="142">
      <x:c r="A142" s="30" t="str">
        <x:v>ORD-0141</x:v>
      </x:c>
      <x:c r="B142" s="31" t="n">
        <x:v>45920</x:v>
      </x:c>
      <x:c r="C142" s="30" t="str">
        <x:v>Sep</x:v>
      </x:c>
      <x:c r="D142" s="30" t="str">
        <x:v>North West</x:v>
      </x:c>
      <x:c r="E142" s="30" t="str">
        <x:v>Home &amp; Kitchen</x:v>
      </x:c>
      <x:c r="F142" s="30" t="str">
        <x:v>Online</x:v>
      </x:c>
      <x:c r="G142" s="32" t="n">
        <x:v>5</x:v>
      </x:c>
      <x:c r="H142" s="33" t="n">
        <x:v>59</x:v>
      </x:c>
      <x:c r="I142" s="33" t="n">
        <x:v>295</x:v>
      </x:c>
      <x:c r="J142" s="33" t="n">
        <x:v>203.55</x:v>
      </x:c>
      <x:c r="K142" s="33" t="n">
        <x:v>91.45</x:v>
      </x:c>
      <x:c r="L142" s="32" t="n">
        <x:v>4</x:v>
      </x:c>
      <x:c r="M142" s="32" t="str">
        <x:v>On Time</x:v>
      </x:c>
      <x:c r="N142" s="32" t="str">
        <x:v>No</x:v>
      </x:c>
      <x:c r="O142" s="32" t="n">
        <x:v>4</x:v>
      </x:c>
    </x:row>
    <x:row r="143">
      <x:c r="A143" s="30" t="str">
        <x:v>ORD-0142</x:v>
      </x:c>
      <x:c r="B143" s="31" t="n">
        <x:v>45957</x:v>
      </x:c>
      <x:c r="C143" s="30" t="str">
        <x:v>Oct</x:v>
      </x:c>
      <x:c r="D143" s="30" t="str">
        <x:v>London</x:v>
      </x:c>
      <x:c r="E143" s="30" t="str">
        <x:v>Office Supplies</x:v>
      </x:c>
      <x:c r="F143" s="30" t="str">
        <x:v>Store</x:v>
      </x:c>
      <x:c r="G143" s="32" t="n">
        <x:v>4</x:v>
      </x:c>
      <x:c r="H143" s="33" t="n">
        <x:v>19</x:v>
      </x:c>
      <x:c r="I143" s="33" t="n">
        <x:v>76</x:v>
      </x:c>
      <x:c r="J143" s="33" t="n">
        <x:v>47.12</x:v>
      </x:c>
      <x:c r="K143" s="33" t="n">
        <x:v>28.88</x:v>
      </x:c>
      <x:c r="L143" s="32" t="n">
        <x:v>1</x:v>
      </x:c>
      <x:c r="M143" s="32" t="str">
        <x:v>On Time</x:v>
      </x:c>
      <x:c r="N143" s="32" t="str">
        <x:v>No</x:v>
      </x:c>
      <x:c r="O143" s="32" t="n">
        <x:v>5</x:v>
      </x:c>
    </x:row>
    <x:row r="144">
      <x:c r="A144" s="30" t="str">
        <x:v>ORD-0143</x:v>
      </x:c>
      <x:c r="B144" s="31" t="n">
        <x:v>45969</x:v>
      </x:c>
      <x:c r="C144" s="30" t="str">
        <x:v>Nov</x:v>
      </x:c>
      <x:c r="D144" s="30" t="str">
        <x:v>West Midlands</x:v>
      </x:c>
      <x:c r="E144" s="30" t="str">
        <x:v>Sports</x:v>
      </x:c>
      <x:c r="F144" s="30" t="str">
        <x:v>Marketplace</x:v>
      </x:c>
      <x:c r="G144" s="32" t="n">
        <x:v>3</x:v>
      </x:c>
      <x:c r="H144" s="33" t="n">
        <x:v>56</x:v>
      </x:c>
      <x:c r="I144" s="33" t="n">
        <x:v>168</x:v>
      </x:c>
      <x:c r="J144" s="33" t="n">
        <x:v>119.28</x:v>
      </x:c>
      <x:c r="K144" s="33" t="n">
        <x:v>48.72</x:v>
      </x:c>
      <x:c r="L144" s="32" t="n">
        <x:v>6</x:v>
      </x:c>
      <x:c r="M144" s="32" t="str">
        <x:v>Late</x:v>
      </x:c>
      <x:c r="N144" s="32" t="str">
        <x:v>No</x:v>
      </x:c>
      <x:c r="O144" s="32" t="n">
        <x:v>3</x:v>
      </x:c>
    </x:row>
    <x:row r="145">
      <x:c r="A145" s="30" t="str">
        <x:v>ORD-0144</x:v>
      </x:c>
      <x:c r="B145" s="31" t="n">
        <x:v>46006</x:v>
      </x:c>
      <x:c r="C145" s="30" t="str">
        <x:v>Dec</x:v>
      </x:c>
      <x:c r="D145" s="30" t="str">
        <x:v>East Midlands</x:v>
      </x:c>
      <x:c r="E145" s="30" t="str">
        <x:v>Electronics</x:v>
      </x:c>
      <x:c r="F145" s="30" t="str">
        <x:v>Online</x:v>
      </x:c>
      <x:c r="G145" s="32" t="n">
        <x:v>2</x:v>
      </x:c>
      <x:c r="H145" s="33" t="n">
        <x:v>95</x:v>
      </x:c>
      <x:c r="I145" s="33" t="n">
        <x:v>190</x:v>
      </x:c>
      <x:c r="J145" s="33" t="n">
        <x:v>148.2</x:v>
      </x:c>
      <x:c r="K145" s="33" t="n">
        <x:v>41.8</x:v>
      </x:c>
      <x:c r="L145" s="32" t="n">
        <x:v>3</x:v>
      </x:c>
      <x:c r="M145" s="32" t="str">
        <x:v>On Time</x:v>
      </x:c>
      <x:c r="N145" s="32" t="str">
        <x:v>No</x:v>
      </x:c>
      <x:c r="O145" s="32" t="n">
        <x:v>5</x:v>
      </x:c>
    </x:row>
    <x:row r="146">
      <x:c r="A146" s="30" t="str">
        <x:v>ORD-0145</x:v>
      </x:c>
      <x:c r="B146" s="31" t="n">
        <x:v>45679</x:v>
      </x:c>
      <x:c r="C146" s="30" t="str">
        <x:v>Jan</x:v>
      </x:c>
      <x:c r="D146" s="30" t="str">
        <x:v>East Midlands</x:v>
      </x:c>
      <x:c r="E146" s="30" t="str">
        <x:v>Office Supplies</x:v>
      </x:c>
      <x:c r="F146" s="30" t="str">
        <x:v>Store</x:v>
      </x:c>
      <x:c r="G146" s="32" t="n">
        <x:v>1</x:v>
      </x:c>
      <x:c r="H146" s="33" t="n">
        <x:v>21</x:v>
      </x:c>
      <x:c r="I146" s="33" t="n">
        <x:v>21</x:v>
      </x:c>
      <x:c r="J146" s="33" t="n">
        <x:v>13.02</x:v>
      </x:c>
      <x:c r="K146" s="33" t="n">
        <x:v>7.98</x:v>
      </x:c>
      <x:c r="L146" s="32" t="n">
        <x:v>1</x:v>
      </x:c>
      <x:c r="M146" s="32" t="str">
        <x:v>On Time</x:v>
      </x:c>
      <x:c r="N146" s="32" t="str">
        <x:v>No</x:v>
      </x:c>
      <x:c r="O146" s="32" t="n">
        <x:v>4</x:v>
      </x:c>
    </x:row>
    <x:row r="147">
      <x:c r="A147" s="30" t="str">
        <x:v>ORD-0146</x:v>
      </x:c>
      <x:c r="B147" s="31" t="n">
        <x:v>45691</x:v>
      </x:c>
      <x:c r="C147" s="30" t="str">
        <x:v>Feb</x:v>
      </x:c>
      <x:c r="D147" s="30" t="str">
        <x:v>North West</x:v>
      </x:c>
      <x:c r="E147" s="30" t="str">
        <x:v>Sports</x:v>
      </x:c>
      <x:c r="F147" s="30" t="str">
        <x:v>Marketplace</x:v>
      </x:c>
      <x:c r="G147" s="32" t="n">
        <x:v>8</x:v>
      </x:c>
      <x:c r="H147" s="33" t="n">
        <x:v>58</x:v>
      </x:c>
      <x:c r="I147" s="33" t="n">
        <x:v>464</x:v>
      </x:c>
      <x:c r="J147" s="33" t="n">
        <x:v>329.44</x:v>
      </x:c>
      <x:c r="K147" s="33" t="n">
        <x:v>134.56</x:v>
      </x:c>
      <x:c r="L147" s="32" t="n">
        <x:v>6</x:v>
      </x:c>
      <x:c r="M147" s="32" t="str">
        <x:v>Late</x:v>
      </x:c>
      <x:c r="N147" s="32" t="str">
        <x:v>Yes</x:v>
      </x:c>
      <x:c r="O147" s="32" t="n">
        <x:v>3</x:v>
      </x:c>
    </x:row>
    <x:row r="148">
      <x:c r="A148" s="30" t="str">
        <x:v>ORD-0147</x:v>
      </x:c>
      <x:c r="B148" s="31" t="n">
        <x:v>45726</x:v>
      </x:c>
      <x:c r="C148" s="30" t="str">
        <x:v>Mar</x:v>
      </x:c>
      <x:c r="D148" s="30" t="str">
        <x:v>London</x:v>
      </x:c>
      <x:c r="E148" s="30" t="str">
        <x:v>Electronics</x:v>
      </x:c>
      <x:c r="F148" s="30" t="str">
        <x:v>Online</x:v>
      </x:c>
      <x:c r="G148" s="32" t="n">
        <x:v>7</x:v>
      </x:c>
      <x:c r="H148" s="33" t="n">
        <x:v>97</x:v>
      </x:c>
      <x:c r="I148" s="33" t="n">
        <x:v>679</x:v>
      </x:c>
      <x:c r="J148" s="33" t="n">
        <x:v>529.62</x:v>
      </x:c>
      <x:c r="K148" s="33" t="n">
        <x:v>149.38</x:v>
      </x:c>
      <x:c r="L148" s="32" t="n">
        <x:v>3</x:v>
      </x:c>
      <x:c r="M148" s="32" t="str">
        <x:v>On Time</x:v>
      </x:c>
      <x:c r="N148" s="32" t="str">
        <x:v>No</x:v>
      </x:c>
      <x:c r="O148" s="32" t="n">
        <x:v>4</x:v>
      </x:c>
    </x:row>
    <x:row r="149">
      <x:c r="A149" s="30" t="str">
        <x:v>ORD-0148</x:v>
      </x:c>
      <x:c r="B149" s="31" t="n">
        <x:v>45764</x:v>
      </x:c>
      <x:c r="C149" s="30" t="str">
        <x:v>Apr</x:v>
      </x:c>
      <x:c r="D149" s="30" t="str">
        <x:v>West Midlands</x:v>
      </x:c>
      <x:c r="E149" s="30" t="str">
        <x:v>Home &amp; Kitchen</x:v>
      </x:c>
      <x:c r="F149" s="30" t="str">
        <x:v>Store</x:v>
      </x:c>
      <x:c r="G149" s="32" t="n">
        <x:v>6</x:v>
      </x:c>
      <x:c r="H149" s="33" t="n">
        <x:v>43</x:v>
      </x:c>
      <x:c r="I149" s="33" t="n">
        <x:v>258</x:v>
      </x:c>
      <x:c r="J149" s="33" t="n">
        <x:v>178.02</x:v>
      </x:c>
      <x:c r="K149" s="33" t="n">
        <x:v>79.98</x:v>
      </x:c>
      <x:c r="L149" s="32" t="n">
        <x:v>8</x:v>
      </x:c>
      <x:c r="M149" s="32" t="str">
        <x:v>Late</x:v>
      </x:c>
      <x:c r="N149" s="32" t="str">
        <x:v>No</x:v>
      </x:c>
      <x:c r="O149" s="32" t="n">
        <x:v>4</x:v>
      </x:c>
    </x:row>
    <x:row r="150">
      <x:c r="A150" s="30" t="str">
        <x:v>ORD-0149</x:v>
      </x:c>
      <x:c r="B150" s="31" t="n">
        <x:v>45801</x:v>
      </x:c>
      <x:c r="C150" s="30" t="str">
        <x:v>May</x:v>
      </x:c>
      <x:c r="D150" s="30" t="str">
        <x:v>East Midlands</x:v>
      </x:c>
      <x:c r="E150" s="30" t="str">
        <x:v>Office Supplies</x:v>
      </x:c>
      <x:c r="F150" s="30" t="str">
        <x:v>Marketplace</x:v>
      </x:c>
      <x:c r="G150" s="32" t="n">
        <x:v>5</x:v>
      </x:c>
      <x:c r="H150" s="33" t="n">
        <x:v>34</x:v>
      </x:c>
      <x:c r="I150" s="33" t="n">
        <x:v>170</x:v>
      </x:c>
      <x:c r="J150" s="33" t="n">
        <x:v>105.4</x:v>
      </x:c>
      <x:c r="K150" s="33" t="n">
        <x:v>64.6</x:v>
      </x:c>
      <x:c r="L150" s="32" t="n">
        <x:v>5</x:v>
      </x:c>
      <x:c r="M150" s="32" t="str">
        <x:v>Late</x:v>
      </x:c>
      <x:c r="N150" s="32" t="str">
        <x:v>No</x:v>
      </x:c>
      <x:c r="O150" s="32" t="n">
        <x:v>3</x:v>
      </x:c>
    </x:row>
    <x:row r="151">
      <x:c r="A151" s="30" t="str">
        <x:v>ORD-0150</x:v>
      </x:c>
      <x:c r="B151" s="31" t="n">
        <x:v>45813</x:v>
      </x:c>
      <x:c r="C151" s="30" t="str">
        <x:v>Jun</x:v>
      </x:c>
      <x:c r="D151" s="30" t="str">
        <x:v>North West</x:v>
      </x:c>
      <x:c r="E151" s="30" t="str">
        <x:v>Sports</x:v>
      </x:c>
      <x:c r="F151" s="30" t="str">
        <x:v>Online</x:v>
      </x:c>
      <x:c r="G151" s="32" t="n">
        <x:v>4</x:v>
      </x:c>
      <x:c r="H151" s="33" t="n">
        <x:v>71</x:v>
      </x:c>
      <x:c r="I151" s="33" t="n">
        <x:v>284</x:v>
      </x:c>
      <x:c r="J151" s="33" t="n">
        <x:v>201.64</x:v>
      </x:c>
      <x:c r="K151" s="33" t="n">
        <x:v>82.36</x:v>
      </x:c>
      <x:c r="L151" s="32" t="n">
        <x:v>2</x:v>
      </x:c>
      <x:c r="M151" s="32" t="str">
        <x:v>On Time</x:v>
      </x:c>
      <x:c r="N151" s="32" t="str">
        <x:v>No</x:v>
      </x:c>
      <x:c r="O151" s="32" t="n">
        <x:v>5</x:v>
      </x:c>
    </x:row>
    <x:row r="152">
      <x:c r="A152" s="30" t="str">
        <x:v>ORD-0151</x:v>
      </x:c>
      <x:c r="B152" s="31" t="n">
        <x:v>45850</x:v>
      </x:c>
      <x:c r="C152" s="30" t="str">
        <x:v>Jul</x:v>
      </x:c>
      <x:c r="D152" s="30" t="str">
        <x:v>London</x:v>
      </x:c>
      <x:c r="E152" s="30" t="str">
        <x:v>Electronics</x:v>
      </x:c>
      <x:c r="F152" s="30" t="str">
        <x:v>Online</x:v>
      </x:c>
      <x:c r="G152" s="32" t="n">
        <x:v>3</x:v>
      </x:c>
      <x:c r="H152" s="33" t="n">
        <x:v>79</x:v>
      </x:c>
      <x:c r="I152" s="33" t="n">
        <x:v>237</x:v>
      </x:c>
      <x:c r="J152" s="33" t="n">
        <x:v>184.86</x:v>
      </x:c>
      <x:c r="K152" s="33" t="n">
        <x:v>52.14</x:v>
      </x:c>
      <x:c r="L152" s="32" t="n">
        <x:v>7</x:v>
      </x:c>
      <x:c r="M152" s="32" t="str">
        <x:v>Late</x:v>
      </x:c>
      <x:c r="N152" s="32" t="str">
        <x:v>No</x:v>
      </x:c>
      <x:c r="O152" s="32" t="n">
        <x:v>3</x:v>
      </x:c>
    </x:row>
    <x:row r="153">
      <x:c r="A153" s="30" t="str">
        <x:v>ORD-0152</x:v>
      </x:c>
      <x:c r="B153" s="31" t="n">
        <x:v>45888</x:v>
      </x:c>
      <x:c r="C153" s="30" t="str">
        <x:v>Aug</x:v>
      </x:c>
      <x:c r="D153" s="30" t="str">
        <x:v>West Midlands</x:v>
      </x:c>
      <x:c r="E153" s="30" t="str">
        <x:v>Home &amp; Kitchen</x:v>
      </x:c>
      <x:c r="F153" s="30" t="str">
        <x:v>Store</x:v>
      </x:c>
      <x:c r="G153" s="32" t="n">
        <x:v>2</x:v>
      </x:c>
      <x:c r="H153" s="33" t="n">
        <x:v>56</x:v>
      </x:c>
      <x:c r="I153" s="33" t="n">
        <x:v>112</x:v>
      </x:c>
      <x:c r="J153" s="33" t="n">
        <x:v>77.28</x:v>
      </x:c>
      <x:c r="K153" s="33" t="n">
        <x:v>34.72</x:v>
      </x:c>
      <x:c r="L153" s="32" t="n">
        <x:v>4</x:v>
      </x:c>
      <x:c r="M153" s="32" t="str">
        <x:v>On Time</x:v>
      </x:c>
      <x:c r="N153" s="32" t="str">
        <x:v>No</x:v>
      </x:c>
      <x:c r="O153" s="32" t="n">
        <x:v>5</x:v>
      </x:c>
    </x:row>
    <x:row r="154">
      <x:c r="A154" s="30" t="str">
        <x:v>ORD-0153</x:v>
      </x:c>
      <x:c r="B154" s="31" t="n">
        <x:v>45926</x:v>
      </x:c>
      <x:c r="C154" s="30" t="str">
        <x:v>Sep</x:v>
      </x:c>
      <x:c r="D154" s="30" t="str">
        <x:v>East Midlands</x:v>
      </x:c>
      <x:c r="E154" s="30" t="str">
        <x:v>Sports</x:v>
      </x:c>
      <x:c r="F154" s="30" t="str">
        <x:v>Marketplace</x:v>
      </x:c>
      <x:c r="G154" s="32" t="n">
        <x:v>1</x:v>
      </x:c>
      <x:c r="H154" s="33" t="n">
        <x:v>73</x:v>
      </x:c>
      <x:c r="I154" s="33" t="n">
        <x:v>73</x:v>
      </x:c>
      <x:c r="J154" s="33" t="n">
        <x:v>51.83</x:v>
      </x:c>
      <x:c r="K154" s="33" t="n">
        <x:v>21.17</x:v>
      </x:c>
      <x:c r="L154" s="32" t="n">
        <x:v>1</x:v>
      </x:c>
      <x:c r="M154" s="32" t="str">
        <x:v>On Time</x:v>
      </x:c>
      <x:c r="N154" s="32" t="str">
        <x:v>No</x:v>
      </x:c>
      <x:c r="O154" s="32" t="n">
        <x:v>4</x:v>
      </x:c>
    </x:row>
    <x:row r="155">
      <x:c r="A155" s="30" t="str">
        <x:v>ORD-0154</x:v>
      </x:c>
      <x:c r="B155" s="31" t="n">
        <x:v>45937</x:v>
      </x:c>
      <x:c r="C155" s="30" t="str">
        <x:v>Oct</x:v>
      </x:c>
      <x:c r="D155" s="30" t="str">
        <x:v>North West</x:v>
      </x:c>
      <x:c r="E155" s="30" t="str">
        <x:v>Electronics</x:v>
      </x:c>
      <x:c r="F155" s="30" t="str">
        <x:v>Online</x:v>
      </x:c>
      <x:c r="G155" s="32" t="n">
        <x:v>8</x:v>
      </x:c>
      <x:c r="H155" s="33" t="n">
        <x:v>81</x:v>
      </x:c>
      <x:c r="I155" s="33" t="n">
        <x:v>648</x:v>
      </x:c>
      <x:c r="J155" s="33" t="n">
        <x:v>505.44</x:v>
      </x:c>
      <x:c r="K155" s="33" t="n">
        <x:v>142.56</x:v>
      </x:c>
      <x:c r="L155" s="32" t="n">
        <x:v>7</x:v>
      </x:c>
      <x:c r="M155" s="32" t="str">
        <x:v>Late</x:v>
      </x:c>
      <x:c r="N155" s="32" t="str">
        <x:v>Yes</x:v>
      </x:c>
      <x:c r="O155" s="32" t="n">
        <x:v>3</x:v>
      </x:c>
    </x:row>
    <x:row r="156">
      <x:c r="A156" s="30" t="str">
        <x:v>ORD-0155</x:v>
      </x:c>
      <x:c r="B156" s="31" t="n">
        <x:v>45975</x:v>
      </x:c>
      <x:c r="C156" s="30" t="str">
        <x:v>Nov</x:v>
      </x:c>
      <x:c r="D156" s="30" t="str">
        <x:v>London</x:v>
      </x:c>
      <x:c r="E156" s="30" t="str">
        <x:v>Home &amp; Kitchen</x:v>
      </x:c>
      <x:c r="F156" s="30" t="str">
        <x:v>Store</x:v>
      </x:c>
      <x:c r="G156" s="32" t="n">
        <x:v>7</x:v>
      </x:c>
      <x:c r="H156" s="33" t="n">
        <x:v>58</x:v>
      </x:c>
      <x:c r="I156" s="33" t="n">
        <x:v>406</x:v>
      </x:c>
      <x:c r="J156" s="33" t="n">
        <x:v>280.14</x:v>
      </x:c>
      <x:c r="K156" s="33" t="n">
        <x:v>125.86</x:v>
      </x:c>
      <x:c r="L156" s="32" t="n">
        <x:v>4</x:v>
      </x:c>
      <x:c r="M156" s="32" t="str">
        <x:v>On Time</x:v>
      </x:c>
      <x:c r="N156" s="32" t="str">
        <x:v>No</x:v>
      </x:c>
      <x:c r="O156" s="32" t="n">
        <x:v>4</x:v>
      </x:c>
    </x:row>
    <x:row r="157">
      <x:c r="A157" s="30" t="str">
        <x:v>ORD-0156</x:v>
      </x:c>
      <x:c r="B157" s="31" t="n">
        <x:v>46012</x:v>
      </x:c>
      <x:c r="C157" s="30" t="str">
        <x:v>Dec</x:v>
      </x:c>
      <x:c r="D157" s="30" t="str">
        <x:v>West Midlands</x:v>
      </x:c>
      <x:c r="E157" s="30" t="str">
        <x:v>Office Supplies</x:v>
      </x:c>
      <x:c r="F157" s="30" t="str">
        <x:v>Marketplace</x:v>
      </x:c>
      <x:c r="G157" s="32" t="n">
        <x:v>6</x:v>
      </x:c>
      <x:c r="H157" s="33" t="n">
        <x:v>18</x:v>
      </x:c>
      <x:c r="I157" s="33" t="n">
        <x:v>108</x:v>
      </x:c>
      <x:c r="J157" s="33" t="n">
        <x:v>66.96</x:v>
      </x:c>
      <x:c r="K157" s="33" t="n">
        <x:v>41.04</x:v>
      </x:c>
      <x:c r="L157" s="32" t="n">
        <x:v>1</x:v>
      </x:c>
      <x:c r="M157" s="32" t="str">
        <x:v>On Time</x:v>
      </x:c>
      <x:c r="N157" s="32" t="str">
        <x:v>No</x:v>
      </x:c>
      <x:c r="O157" s="32" t="n">
        <x:v>5</x:v>
      </x:c>
    </x:row>
    <x:row r="158">
      <x:c r="A158" s="30" t="str">
        <x:v>ORD-0157</x:v>
      </x:c>
      <x:c r="B158" s="31" t="n">
        <x:v>45659</x:v>
      </x:c>
      <x:c r="C158" s="30" t="str">
        <x:v>Jan</x:v>
      </x:c>
      <x:c r="D158" s="30" t="str">
        <x:v>West Midlands</x:v>
      </x:c>
      <x:c r="E158" s="30" t="str">
        <x:v>Sports</x:v>
      </x:c>
      <x:c r="F158" s="30" t="str">
        <x:v>Online</x:v>
      </x:c>
      <x:c r="G158" s="32" t="n">
        <x:v>5</x:v>
      </x:c>
      <x:c r="H158" s="33" t="n">
        <x:v>55</x:v>
      </x:c>
      <x:c r="I158" s="33" t="n">
        <x:v>275</x:v>
      </x:c>
      <x:c r="J158" s="33" t="n">
        <x:v>195.25</x:v>
      </x:c>
      <x:c r="K158" s="33" t="n">
        <x:v>79.75</x:v>
      </x:c>
      <x:c r="L158" s="32" t="n">
        <x:v>6</x:v>
      </x:c>
      <x:c r="M158" s="32" t="str">
        <x:v>Late</x:v>
      </x:c>
      <x:c r="N158" s="32" t="str">
        <x:v>No</x:v>
      </x:c>
      <x:c r="O158" s="32" t="n">
        <x:v>3</x:v>
      </x:c>
    </x:row>
    <x:row r="159">
      <x:c r="A159" s="30" t="str">
        <x:v>ORD-0158</x:v>
      </x:c>
      <x:c r="B159" s="31" t="n">
        <x:v>45697</x:v>
      </x:c>
      <x:c r="C159" s="30" t="str">
        <x:v>Feb</x:v>
      </x:c>
      <x:c r="D159" s="30" t="str">
        <x:v>East Midlands</x:v>
      </x:c>
      <x:c r="E159" s="30" t="str">
        <x:v>Electronics</x:v>
      </x:c>
      <x:c r="F159" s="30" t="str">
        <x:v>Store</x:v>
      </x:c>
      <x:c r="G159" s="32" t="n">
        <x:v>4</x:v>
      </x:c>
      <x:c r="H159" s="33" t="n">
        <x:v>94</x:v>
      </x:c>
      <x:c r="I159" s="33" t="n">
        <x:v>376</x:v>
      </x:c>
      <x:c r="J159" s="33" t="n">
        <x:v>293.28</x:v>
      </x:c>
      <x:c r="K159" s="33" t="n">
        <x:v>82.72</x:v>
      </x:c>
      <x:c r="L159" s="32" t="n">
        <x:v>3</x:v>
      </x:c>
      <x:c r="M159" s="32" t="str">
        <x:v>On Time</x:v>
      </x:c>
      <x:c r="N159" s="32" t="str">
        <x:v>No</x:v>
      </x:c>
      <x:c r="O159" s="32" t="n">
        <x:v>5</x:v>
      </x:c>
    </x:row>
    <x:row r="160">
      <x:c r="A160" s="30" t="str">
        <x:v>ORD-0159</x:v>
      </x:c>
      <x:c r="B160" s="31" t="n">
        <x:v>45732</x:v>
      </x:c>
      <x:c r="C160" s="30" t="str">
        <x:v>Mar</x:v>
      </x:c>
      <x:c r="D160" s="30" t="str">
        <x:v>North West</x:v>
      </x:c>
      <x:c r="E160" s="30" t="str">
        <x:v>Home &amp; Kitchen</x:v>
      </x:c>
      <x:c r="F160" s="30" t="str">
        <x:v>Marketplace</x:v>
      </x:c>
      <x:c r="G160" s="32" t="n">
        <x:v>3</x:v>
      </x:c>
      <x:c r="H160" s="33" t="n">
        <x:v>40</x:v>
      </x:c>
      <x:c r="I160" s="33" t="n">
        <x:v>120</x:v>
      </x:c>
      <x:c r="J160" s="33" t="n">
        <x:v>82.8</x:v>
      </x:c>
      <x:c r="K160" s="33" t="n">
        <x:v>37.2</x:v>
      </x:c>
      <x:c r="L160" s="32" t="n">
        <x:v>8</x:v>
      </x:c>
      <x:c r="M160" s="32" t="str">
        <x:v>Late</x:v>
      </x:c>
      <x:c r="N160" s="32" t="str">
        <x:v>No</x:v>
      </x:c>
      <x:c r="O160" s="32" t="n">
        <x:v>3</x:v>
      </x:c>
    </x:row>
    <x:row r="161">
      <x:c r="A161" s="30" t="str">
        <x:v>ORD-0160</x:v>
      </x:c>
      <x:c r="B161" s="31" t="n">
        <x:v>45770</x:v>
      </x:c>
      <x:c r="C161" s="30" t="str">
        <x:v>Apr</x:v>
      </x:c>
      <x:c r="D161" s="30" t="str">
        <x:v>London</x:v>
      </x:c>
      <x:c r="E161" s="30" t="str">
        <x:v>Office Supplies</x:v>
      </x:c>
      <x:c r="F161" s="30" t="str">
        <x:v>Online</x:v>
      </x:c>
      <x:c r="G161" s="32" t="n">
        <x:v>2</x:v>
      </x:c>
      <x:c r="H161" s="33" t="n">
        <x:v>31</x:v>
      </x:c>
      <x:c r="I161" s="33" t="n">
        <x:v>62</x:v>
      </x:c>
      <x:c r="J161" s="33" t="n">
        <x:v>38.44</x:v>
      </x:c>
      <x:c r="K161" s="33" t="n">
        <x:v>23.56</x:v>
      </x:c>
      <x:c r="L161" s="32" t="n">
        <x:v>5</x:v>
      </x:c>
      <x:c r="M161" s="32" t="str">
        <x:v>Late</x:v>
      </x:c>
      <x:c r="N161" s="32" t="str">
        <x:v>No</x:v>
      </x:c>
      <x:c r="O161" s="32" t="n">
        <x:v>4</x:v>
      </x:c>
    </x:row>
    <x:row r="162">
      <x:c r="A162" s="30" t="str">
        <x:v>ORD-0161</x:v>
      </x:c>
      <x:c r="B162" s="31" t="n">
        <x:v>45781</x:v>
      </x:c>
      <x:c r="C162" s="30" t="str">
        <x:v>May</x:v>
      </x:c>
      <x:c r="D162" s="30" t="str">
        <x:v>West Midlands</x:v>
      </x:c>
      <x:c r="E162" s="30" t="str">
        <x:v>Electronics</x:v>
      </x:c>
      <x:c r="F162" s="30" t="str">
        <x:v>Online</x:v>
      </x:c>
      <x:c r="G162" s="32" t="n">
        <x:v>1</x:v>
      </x:c>
      <x:c r="H162" s="33" t="n">
        <x:v>96</x:v>
      </x:c>
      <x:c r="I162" s="33" t="n">
        <x:v>96</x:v>
      </x:c>
      <x:c r="J162" s="33" t="n">
        <x:v>74.88</x:v>
      </x:c>
      <x:c r="K162" s="33" t="n">
        <x:v>21.12</x:v>
      </x:c>
      <x:c r="L162" s="32" t="n">
        <x:v>2</x:v>
      </x:c>
      <x:c r="M162" s="32" t="str">
        <x:v>On Time</x:v>
      </x:c>
      <x:c r="N162" s="32" t="str">
        <x:v>No</x:v>
      </x:c>
      <x:c r="O162" s="32" t="n">
        <x:v>4</x:v>
      </x:c>
    </x:row>
    <x:row r="163">
      <x:c r="A163" s="30" t="str">
        <x:v>ORD-0162</x:v>
      </x:c>
      <x:c r="B163" s="31" t="n">
        <x:v>45819</x:v>
      </x:c>
      <x:c r="C163" s="30" t="str">
        <x:v>Jun</x:v>
      </x:c>
      <x:c r="D163" s="30" t="str">
        <x:v>East Midlands</x:v>
      </x:c>
      <x:c r="E163" s="30" t="str">
        <x:v>Home &amp; Kitchen</x:v>
      </x:c>
      <x:c r="F163" s="30" t="str">
        <x:v>Store</x:v>
      </x:c>
      <x:c r="G163" s="32" t="n">
        <x:v>8</x:v>
      </x:c>
      <x:c r="H163" s="33" t="n">
        <x:v>42</x:v>
      </x:c>
      <x:c r="I163" s="33" t="n">
        <x:v>336</x:v>
      </x:c>
      <x:c r="J163" s="33" t="n">
        <x:v>231.84</x:v>
      </x:c>
      <x:c r="K163" s="33" t="n">
        <x:v>104.16</x:v>
      </x:c>
      <x:c r="L163" s="32" t="n">
        <x:v>7</x:v>
      </x:c>
      <x:c r="M163" s="32" t="str">
        <x:v>Late</x:v>
      </x:c>
      <x:c r="N163" s="32" t="str">
        <x:v>No</x:v>
      </x:c>
      <x:c r="O163" s="32" t="n">
        <x:v>4</x:v>
      </x:c>
    </x:row>
    <x:row r="164">
      <x:c r="A164" s="30" t="str">
        <x:v>ORD-0163</x:v>
      </x:c>
      <x:c r="B164" s="31" t="n">
        <x:v>45856</x:v>
      </x:c>
      <x:c r="C164" s="30" t="str">
        <x:v>Jul</x:v>
      </x:c>
      <x:c r="D164" s="30" t="str">
        <x:v>North West</x:v>
      </x:c>
      <x:c r="E164" s="30" t="str">
        <x:v>Office Supplies</x:v>
      </x:c>
      <x:c r="F164" s="30" t="str">
        <x:v>Marketplace</x:v>
      </x:c>
      <x:c r="G164" s="32" t="n">
        <x:v>7</x:v>
      </x:c>
      <x:c r="H164" s="33" t="n">
        <x:v>33</x:v>
      </x:c>
      <x:c r="I164" s="33" t="n">
        <x:v>231</x:v>
      </x:c>
      <x:c r="J164" s="33" t="n">
        <x:v>143.22</x:v>
      </x:c>
      <x:c r="K164" s="33" t="n">
        <x:v>87.78</x:v>
      </x:c>
      <x:c r="L164" s="32" t="n">
        <x:v>5</x:v>
      </x:c>
      <x:c r="M164" s="32" t="str">
        <x:v>Late</x:v>
      </x:c>
      <x:c r="N164" s="32" t="str">
        <x:v>No</x:v>
      </x:c>
      <x:c r="O164" s="32" t="n">
        <x:v>3</x:v>
      </x:c>
    </x:row>
    <x:row r="165">
      <x:c r="A165" s="30" t="str">
        <x:v>ORD-0164</x:v>
      </x:c>
      <x:c r="B165" s="31" t="n">
        <x:v>45894</x:v>
      </x:c>
      <x:c r="C165" s="30" t="str">
        <x:v>Aug</x:v>
      </x:c>
      <x:c r="D165" s="30" t="str">
        <x:v>London</x:v>
      </x:c>
      <x:c r="E165" s="30" t="str">
        <x:v>Sports</x:v>
      </x:c>
      <x:c r="F165" s="30" t="str">
        <x:v>Online</x:v>
      </x:c>
      <x:c r="G165" s="32" t="n">
        <x:v>6</x:v>
      </x:c>
      <x:c r="H165" s="33" t="n">
        <x:v>70</x:v>
      </x:c>
      <x:c r="I165" s="33" t="n">
        <x:v>420</x:v>
      </x:c>
      <x:c r="J165" s="33" t="n">
        <x:v>298.2</x:v>
      </x:c>
      <x:c r="K165" s="33" t="n">
        <x:v>121.8</x:v>
      </x:c>
      <x:c r="L165" s="32" t="n">
        <x:v>2</x:v>
      </x:c>
      <x:c r="M165" s="32" t="str">
        <x:v>On Time</x:v>
      </x:c>
      <x:c r="N165" s="32" t="str">
        <x:v>No</x:v>
      </x:c>
      <x:c r="O165" s="32" t="n">
        <x:v>5</x:v>
      </x:c>
    </x:row>
    <x:row r="166">
      <x:c r="A166" s="30" t="str">
        <x:v>ORD-0165</x:v>
      </x:c>
      <x:c r="B166" s="31" t="n">
        <x:v>45906</x:v>
      </x:c>
      <x:c r="C166" s="30" t="str">
        <x:v>Sep</x:v>
      </x:c>
      <x:c r="D166" s="30" t="str">
        <x:v>West Midlands</x:v>
      </x:c>
      <x:c r="E166" s="30" t="str">
        <x:v>Electronics</x:v>
      </x:c>
      <x:c r="F166" s="30" t="str">
        <x:v>Store</x:v>
      </x:c>
      <x:c r="G166" s="32" t="n">
        <x:v>5</x:v>
      </x:c>
      <x:c r="H166" s="33" t="n">
        <x:v>78</x:v>
      </x:c>
      <x:c r="I166" s="33" t="n">
        <x:v>390</x:v>
      </x:c>
      <x:c r="J166" s="33" t="n">
        <x:v>304.2</x:v>
      </x:c>
      <x:c r="K166" s="33" t="n">
        <x:v>85.8</x:v>
      </x:c>
      <x:c r="L166" s="32" t="n">
        <x:v>7</x:v>
      </x:c>
      <x:c r="M166" s="32" t="str">
        <x:v>Late</x:v>
      </x:c>
      <x:c r="N166" s="32" t="str">
        <x:v>No</x:v>
      </x:c>
      <x:c r="O166" s="32" t="n">
        <x:v>3</x:v>
      </x:c>
    </x:row>
    <x:row r="167">
      <x:c r="A167" s="30" t="str">
        <x:v>ORD-0166</x:v>
      </x:c>
      <x:c r="B167" s="31" t="n">
        <x:v>45943</x:v>
      </x:c>
      <x:c r="C167" s="30" t="str">
        <x:v>Oct</x:v>
      </x:c>
      <x:c r="D167" s="30" t="str">
        <x:v>East Midlands</x:v>
      </x:c>
      <x:c r="E167" s="30" t="str">
        <x:v>Home &amp; Kitchen</x:v>
      </x:c>
      <x:c r="F167" s="30" t="str">
        <x:v>Marketplace</x:v>
      </x:c>
      <x:c r="G167" s="32" t="n">
        <x:v>4</x:v>
      </x:c>
      <x:c r="H167" s="33" t="n">
        <x:v>55</x:v>
      </x:c>
      <x:c r="I167" s="33" t="n">
        <x:v>220</x:v>
      </x:c>
      <x:c r="J167" s="33" t="n">
        <x:v>151.8</x:v>
      </x:c>
      <x:c r="K167" s="33" t="n">
        <x:v>68.2</x:v>
      </x:c>
      <x:c r="L167" s="32" t="n">
        <x:v>4</x:v>
      </x:c>
      <x:c r="M167" s="32" t="str">
        <x:v>On Time</x:v>
      </x:c>
      <x:c r="N167" s="32" t="str">
        <x:v>No</x:v>
      </x:c>
      <x:c r="O167" s="32" t="n">
        <x:v>5</x:v>
      </x:c>
    </x:row>
    <x:row r="168">
      <x:c r="A168" s="30" t="str">
        <x:v>ORD-0167</x:v>
      </x:c>
      <x:c r="B168" s="31" t="n">
        <x:v>45981</x:v>
      </x:c>
      <x:c r="C168" s="30" t="str">
        <x:v>Nov</x:v>
      </x:c>
      <x:c r="D168" s="30" t="str">
        <x:v>North West</x:v>
      </x:c>
      <x:c r="E168" s="30" t="str">
        <x:v>Office Supplies</x:v>
      </x:c>
      <x:c r="F168" s="30" t="str">
        <x:v>Online</x:v>
      </x:c>
      <x:c r="G168" s="32" t="n">
        <x:v>3</x:v>
      </x:c>
      <x:c r="H168" s="33" t="n">
        <x:v>46</x:v>
      </x:c>
      <x:c r="I168" s="33" t="n">
        <x:v>138</x:v>
      </x:c>
      <x:c r="J168" s="33" t="n">
        <x:v>85.56</x:v>
      </x:c>
      <x:c r="K168" s="33" t="n">
        <x:v>52.44</x:v>
      </x:c>
      <x:c r="L168" s="32" t="n">
        <x:v>1</x:v>
      </x:c>
      <x:c r="M168" s="32" t="str">
        <x:v>On Time</x:v>
      </x:c>
      <x:c r="N168" s="32" t="str">
        <x:v>No</x:v>
      </x:c>
      <x:c r="O168" s="32" t="n">
        <x:v>4</x:v>
      </x:c>
    </x:row>
    <x:row r="169">
      <x:c r="A169" s="30" t="str">
        <x:v>ORD-0168</x:v>
      </x:c>
      <x:c r="B169" s="31" t="n">
        <x:v>46018</x:v>
      </x:c>
      <x:c r="C169" s="30" t="str">
        <x:v>Dec</x:v>
      </x:c>
      <x:c r="D169" s="30" t="str">
        <x:v>London</x:v>
      </x:c>
      <x:c r="E169" s="30" t="str">
        <x:v>Sports</x:v>
      </x:c>
      <x:c r="F169" s="30" t="str">
        <x:v>Store</x:v>
      </x:c>
      <x:c r="G169" s="32" t="n">
        <x:v>2</x:v>
      </x:c>
      <x:c r="H169" s="33" t="n">
        <x:v>52</x:v>
      </x:c>
      <x:c r="I169" s="33" t="n">
        <x:v>104</x:v>
      </x:c>
      <x:c r="J169" s="33" t="n">
        <x:v>73.84</x:v>
      </x:c>
      <x:c r="K169" s="33" t="n">
        <x:v>30.16</x:v>
      </x:c>
      <x:c r="L169" s="32" t="n">
        <x:v>6</x:v>
      </x:c>
      <x:c r="M169" s="32" t="str">
        <x:v>Late</x:v>
      </x:c>
      <x:c r="N169" s="32" t="str">
        <x:v>No</x:v>
      </x:c>
      <x:c r="O169" s="32" t="n">
        <x:v>4</x:v>
      </x:c>
    </x:row>
    <x:row r="170">
      <x:c r="A170" s="30" t="str">
        <x:v>ORD-0169</x:v>
      </x:c>
      <x:c r="B170" s="31" t="n">
        <x:v>45665</x:v>
      </x:c>
      <x:c r="C170" s="30" t="str">
        <x:v>Jan</x:v>
      </x:c>
      <x:c r="D170" s="30" t="str">
        <x:v>London</x:v>
      </x:c>
      <x:c r="E170" s="30" t="str">
        <x:v>Home &amp; Kitchen</x:v>
      </x:c>
      <x:c r="F170" s="30" t="str">
        <x:v>Marketplace</x:v>
      </x:c>
      <x:c r="G170" s="32" t="n">
        <x:v>1</x:v>
      </x:c>
      <x:c r="H170" s="33" t="n">
        <x:v>57</x:v>
      </x:c>
      <x:c r="I170" s="33" t="n">
        <x:v>57</x:v>
      </x:c>
      <x:c r="J170" s="33" t="n">
        <x:v>39.33</x:v>
      </x:c>
      <x:c r="K170" s="33" t="n">
        <x:v>17.67</x:v>
      </x:c>
      <x:c r="L170" s="32" t="n">
        <x:v>3</x:v>
      </x:c>
      <x:c r="M170" s="32" t="str">
        <x:v>On Time</x:v>
      </x:c>
      <x:c r="N170" s="32" t="str">
        <x:v>No</x:v>
      </x:c>
      <x:c r="O170" s="32" t="n">
        <x:v>4</x:v>
      </x:c>
    </x:row>
    <x:row r="171">
      <x:c r="A171" s="30" t="str">
        <x:v>ORD-0170</x:v>
      </x:c>
      <x:c r="B171" s="31" t="n">
        <x:v>45703</x:v>
      </x:c>
      <x:c r="C171" s="30" t="str">
        <x:v>Feb</x:v>
      </x:c>
      <x:c r="D171" s="30" t="str">
        <x:v>West Midlands</x:v>
      </x:c>
      <x:c r="E171" s="30" t="str">
        <x:v>Office Supplies</x:v>
      </x:c>
      <x:c r="F171" s="30" t="str">
        <x:v>Online</x:v>
      </x:c>
      <x:c r="G171" s="32" t="n">
        <x:v>8</x:v>
      </x:c>
      <x:c r="H171" s="33" t="n">
        <x:v>48</x:v>
      </x:c>
      <x:c r="I171" s="33" t="n">
        <x:v>384</x:v>
      </x:c>
      <x:c r="J171" s="33" t="n">
        <x:v>238.08</x:v>
      </x:c>
      <x:c r="K171" s="33" t="n">
        <x:v>145.92</x:v>
      </x:c>
      <x:c r="L171" s="32" t="n">
        <x:v>8</x:v>
      </x:c>
      <x:c r="M171" s="32" t="str">
        <x:v>Late</x:v>
      </x:c>
      <x:c r="N171" s="32" t="str">
        <x:v>No</x:v>
      </x:c>
      <x:c r="O171" s="32" t="n">
        <x:v>4</x:v>
      </x:c>
    </x:row>
    <x:row r="172">
      <x:c r="A172" s="30" t="str">
        <x:v>ORD-0171</x:v>
      </x:c>
      <x:c r="B172" s="31" t="n">
        <x:v>45738</x:v>
      </x:c>
      <x:c r="C172" s="30" t="str">
        <x:v>Mar</x:v>
      </x:c>
      <x:c r="D172" s="30" t="str">
        <x:v>East Midlands</x:v>
      </x:c>
      <x:c r="E172" s="30" t="str">
        <x:v>Sports</x:v>
      </x:c>
      <x:c r="F172" s="30" t="str">
        <x:v>Online</x:v>
      </x:c>
      <x:c r="G172" s="32" t="n">
        <x:v>7</x:v>
      </x:c>
      <x:c r="H172" s="33" t="n">
        <x:v>54</x:v>
      </x:c>
      <x:c r="I172" s="33" t="n">
        <x:v>378</x:v>
      </x:c>
      <x:c r="J172" s="33" t="n">
        <x:v>268.38</x:v>
      </x:c>
      <x:c r="K172" s="33" t="n">
        <x:v>109.62</x:v>
      </x:c>
      <x:c r="L172" s="32" t="n">
        <x:v>5</x:v>
      </x:c>
      <x:c r="M172" s="32" t="str">
        <x:v>Late</x:v>
      </x:c>
      <x:c r="N172" s="32" t="str">
        <x:v>Yes</x:v>
      </x:c>
      <x:c r="O172" s="32" t="n">
        <x:v>2</x:v>
      </x:c>
    </x:row>
    <x:row r="173">
      <x:c r="A173" s="30" t="str">
        <x:v>ORD-0172</x:v>
      </x:c>
      <x:c r="B173" s="31" t="n">
        <x:v>45750</x:v>
      </x:c>
      <x:c r="C173" s="30" t="str">
        <x:v>Apr</x:v>
      </x:c>
      <x:c r="D173" s="30" t="str">
        <x:v>North West</x:v>
      </x:c>
      <x:c r="E173" s="30" t="str">
        <x:v>Electronics</x:v>
      </x:c>
      <x:c r="F173" s="30" t="str">
        <x:v>Store</x:v>
      </x:c>
      <x:c r="G173" s="32" t="n">
        <x:v>6</x:v>
      </x:c>
      <x:c r="H173" s="33" t="n">
        <x:v>93</x:v>
      </x:c>
      <x:c r="I173" s="33" t="n">
        <x:v>558</x:v>
      </x:c>
      <x:c r="J173" s="33" t="n">
        <x:v>435.24</x:v>
      </x:c>
      <x:c r="K173" s="33" t="n">
        <x:v>122.76</x:v>
      </x:c>
      <x:c r="L173" s="32" t="n">
        <x:v>3</x:v>
      </x:c>
      <x:c r="M173" s="32" t="str">
        <x:v>On Time</x:v>
      </x:c>
      <x:c r="N173" s="32" t="str">
        <x:v>No</x:v>
      </x:c>
      <x:c r="O173" s="32" t="n">
        <x:v>5</x:v>
      </x:c>
    </x:row>
    <x:row r="174">
      <x:c r="A174" s="30" t="str">
        <x:v>ORD-0173</x:v>
      </x:c>
      <x:c r="B174" s="31" t="n">
        <x:v>45787</x:v>
      </x:c>
      <x:c r="C174" s="30" t="str">
        <x:v>May</x:v>
      </x:c>
      <x:c r="D174" s="30" t="str">
        <x:v>London</x:v>
      </x:c>
      <x:c r="E174" s="30" t="str">
        <x:v>Home &amp; Kitchen</x:v>
      </x:c>
      <x:c r="F174" s="30" t="str">
        <x:v>Marketplace</x:v>
      </x:c>
      <x:c r="G174" s="32" t="n">
        <x:v>5</x:v>
      </x:c>
      <x:c r="H174" s="33" t="n">
        <x:v>39</x:v>
      </x:c>
      <x:c r="I174" s="33" t="n">
        <x:v>195</x:v>
      </x:c>
      <x:c r="J174" s="33" t="n">
        <x:v>134.55</x:v>
      </x:c>
      <x:c r="K174" s="33" t="n">
        <x:v>60.45</x:v>
      </x:c>
      <x:c r="L174" s="32" t="n">
        <x:v>8</x:v>
      </x:c>
      <x:c r="M174" s="32" t="str">
        <x:v>Late</x:v>
      </x:c>
      <x:c r="N174" s="32" t="str">
        <x:v>No</x:v>
      </x:c>
      <x:c r="O174" s="32" t="n">
        <x:v>3</x:v>
      </x:c>
    </x:row>
    <x:row r="175">
      <x:c r="A175" s="30" t="str">
        <x:v>ORD-0174</x:v>
      </x:c>
      <x:c r="B175" s="31" t="n">
        <x:v>45825</x:v>
      </x:c>
      <x:c r="C175" s="30" t="str">
        <x:v>Jun</x:v>
      </x:c>
      <x:c r="D175" s="30" t="str">
        <x:v>West Midlands</x:v>
      </x:c>
      <x:c r="E175" s="30" t="str">
        <x:v>Office Supplies</x:v>
      </x:c>
      <x:c r="F175" s="30" t="str">
        <x:v>Online</x:v>
      </x:c>
      <x:c r="G175" s="32" t="n">
        <x:v>4</x:v>
      </x:c>
      <x:c r="H175" s="33" t="n">
        <x:v>30</x:v>
      </x:c>
      <x:c r="I175" s="33" t="n">
        <x:v>120</x:v>
      </x:c>
      <x:c r="J175" s="33" t="n">
        <x:v>74.4</x:v>
      </x:c>
      <x:c r="K175" s="33" t="n">
        <x:v>45.6</x:v>
      </x:c>
      <x:c r="L175" s="32" t="n">
        <x:v>5</x:v>
      </x:c>
      <x:c r="M175" s="32" t="str">
        <x:v>Late</x:v>
      </x:c>
      <x:c r="N175" s="32" t="str">
        <x:v>No</x:v>
      </x:c>
      <x:c r="O175" s="32" t="n">
        <x:v>4</x:v>
      </x:c>
    </x:row>
    <x:row r="176">
      <x:c r="A176" s="30" t="str">
        <x:v>ORD-0175</x:v>
      </x:c>
      <x:c r="B176" s="31" t="n">
        <x:v>45862</x:v>
      </x:c>
      <x:c r="C176" s="30" t="str">
        <x:v>Jul</x:v>
      </x:c>
      <x:c r="D176" s="30" t="str">
        <x:v>East Midlands</x:v>
      </x:c>
      <x:c r="E176" s="30" t="str">
        <x:v>Sports</x:v>
      </x:c>
      <x:c r="F176" s="30" t="str">
        <x:v>Store</x:v>
      </x:c>
      <x:c r="G176" s="32" t="n">
        <x:v>3</x:v>
      </x:c>
      <x:c r="H176" s="33" t="n">
        <x:v>67</x:v>
      </x:c>
      <x:c r="I176" s="33" t="n">
        <x:v>201</x:v>
      </x:c>
      <x:c r="J176" s="33" t="n">
        <x:v>142.71</x:v>
      </x:c>
      <x:c r="K176" s="33" t="n">
        <x:v>58.29</x:v>
      </x:c>
      <x:c r="L176" s="32" t="n">
        <x:v>2</x:v>
      </x:c>
      <x:c r="M176" s="32" t="str">
        <x:v>On Time</x:v>
      </x:c>
      <x:c r="N176" s="32" t="str">
        <x:v>Yes</x:v>
      </x:c>
      <x:c r="O176" s="32" t="n">
        <x:v>2</x:v>
      </x:c>
    </x:row>
    <x:row r="177">
      <x:c r="A177" s="30" t="str">
        <x:v>ORD-0176</x:v>
      </x:c>
      <x:c r="B177" s="31" t="n">
        <x:v>45874</x:v>
      </x:c>
      <x:c r="C177" s="30" t="str">
        <x:v>Aug</x:v>
      </x:c>
      <x:c r="D177" s="30" t="str">
        <x:v>North West</x:v>
      </x:c>
      <x:c r="E177" s="30" t="str">
        <x:v>Electronics</x:v>
      </x:c>
      <x:c r="F177" s="30" t="str">
        <x:v>Marketplace</x:v>
      </x:c>
      <x:c r="G177" s="32" t="n">
        <x:v>2</x:v>
      </x:c>
      <x:c r="H177" s="33" t="n">
        <x:v>75</x:v>
      </x:c>
      <x:c r="I177" s="33" t="n">
        <x:v>150</x:v>
      </x:c>
      <x:c r="J177" s="33" t="n">
        <x:v>117</x:v>
      </x:c>
      <x:c r="K177" s="33" t="n">
        <x:v>33</x:v>
      </x:c>
      <x:c r="L177" s="32" t="n">
        <x:v>7</x:v>
      </x:c>
      <x:c r="M177" s="32" t="str">
        <x:v>Late</x:v>
      </x:c>
      <x:c r="N177" s="32" t="str">
        <x:v>No</x:v>
      </x:c>
      <x:c r="O177" s="32" t="n">
        <x:v>4</x:v>
      </x:c>
    </x:row>
    <x:row r="178">
      <x:c r="A178" s="30" t="str">
        <x:v>ORD-0177</x:v>
      </x:c>
      <x:c r="B178" s="31" t="n">
        <x:v>45912</x:v>
      </x:c>
      <x:c r="C178" s="30" t="str">
        <x:v>Sep</x:v>
      </x:c>
      <x:c r="D178" s="30" t="str">
        <x:v>London</x:v>
      </x:c>
      <x:c r="E178" s="30" t="str">
        <x:v>Office Supplies</x:v>
      </x:c>
      <x:c r="F178" s="30" t="str">
        <x:v>Online</x:v>
      </x:c>
      <x:c r="G178" s="32" t="n">
        <x:v>1</x:v>
      </x:c>
      <x:c r="H178" s="33" t="n">
        <x:v>32</x:v>
      </x:c>
      <x:c r="I178" s="33" t="n">
        <x:v>32</x:v>
      </x:c>
      <x:c r="J178" s="33" t="n">
        <x:v>19.84</x:v>
      </x:c>
      <x:c r="K178" s="33" t="n">
        <x:v>12.16</x:v>
      </x:c>
      <x:c r="L178" s="32" t="n">
        <x:v>4</x:v>
      </x:c>
      <x:c r="M178" s="32" t="str">
        <x:v>On Time</x:v>
      </x:c>
      <x:c r="N178" s="32" t="str">
        <x:v>No</x:v>
      </x:c>
      <x:c r="O178" s="32" t="n">
        <x:v>4</x:v>
      </x:c>
    </x:row>
    <x:row r="179">
      <x:c r="A179" s="30" t="str">
        <x:v>ORD-0178</x:v>
      </x:c>
      <x:c r="B179" s="31" t="n">
        <x:v>45949</x:v>
      </x:c>
      <x:c r="C179" s="30" t="str">
        <x:v>Oct</x:v>
      </x:c>
      <x:c r="D179" s="30" t="str">
        <x:v>West Midlands</x:v>
      </x:c>
      <x:c r="E179" s="30" t="str">
        <x:v>Sports</x:v>
      </x:c>
      <x:c r="F179" s="30" t="str">
        <x:v>Store</x:v>
      </x:c>
      <x:c r="G179" s="32" t="n">
        <x:v>8</x:v>
      </x:c>
      <x:c r="H179" s="33" t="n">
        <x:v>69</x:v>
      </x:c>
      <x:c r="I179" s="33" t="n">
        <x:v>552</x:v>
      </x:c>
      <x:c r="J179" s="33" t="n">
        <x:v>391.92</x:v>
      </x:c>
      <x:c r="K179" s="33" t="n">
        <x:v>160.08</x:v>
      </x:c>
      <x:c r="L179" s="32" t="n">
        <x:v>1</x:v>
      </x:c>
      <x:c r="M179" s="32" t="str">
        <x:v>On Time</x:v>
      </x:c>
      <x:c r="N179" s="32" t="str">
        <x:v>No</x:v>
      </x:c>
      <x:c r="O179" s="32" t="n">
        <x:v>5</x:v>
      </x:c>
    </x:row>
    <x:row r="180">
      <x:c r="A180" s="30" t="str">
        <x:v>ORD-0179</x:v>
      </x:c>
      <x:c r="B180" s="31" t="n">
        <x:v>45987</x:v>
      </x:c>
      <x:c r="C180" s="30" t="str">
        <x:v>Nov</x:v>
      </x:c>
      <x:c r="D180" s="30" t="str">
        <x:v>East Midlands</x:v>
      </x:c>
      <x:c r="E180" s="30" t="str">
        <x:v>Electronics</x:v>
      </x:c>
      <x:c r="F180" s="30" t="str">
        <x:v>Marketplace</x:v>
      </x:c>
      <x:c r="G180" s="32" t="n">
        <x:v>7</x:v>
      </x:c>
      <x:c r="H180" s="33" t="n">
        <x:v>77</x:v>
      </x:c>
      <x:c r="I180" s="33" t="n">
        <x:v>539</x:v>
      </x:c>
      <x:c r="J180" s="33" t="n">
        <x:v>420.42</x:v>
      </x:c>
      <x:c r="K180" s="33" t="n">
        <x:v>118.58</x:v>
      </x:c>
      <x:c r="L180" s="32" t="n">
        <x:v>6</x:v>
      </x:c>
      <x:c r="M180" s="32" t="str">
        <x:v>Late</x:v>
      </x:c>
      <x:c r="N180" s="32" t="str">
        <x:v>No</x:v>
      </x:c>
      <x:c r="O180" s="32" t="n">
        <x:v>3</x:v>
      </x:c>
    </x:row>
    <x:row r="181">
      <x:c r="A181" s="30" t="str">
        <x:v>ORD-0180</x:v>
      </x:c>
      <x:c r="B181" s="31" t="n">
        <x:v>45998</x:v>
      </x:c>
      <x:c r="C181" s="30" t="str">
        <x:v>Dec</x:v>
      </x:c>
      <x:c r="D181" s="30" t="str">
        <x:v>North West</x:v>
      </x:c>
      <x:c r="E181" s="30" t="str">
        <x:v>Home &amp; Kitchen</x:v>
      </x:c>
      <x:c r="F181" s="30" t="str">
        <x:v>Online</x:v>
      </x:c>
      <x:c r="G181" s="32" t="n">
        <x:v>6</x:v>
      </x:c>
      <x:c r="H181" s="33" t="n">
        <x:v>54</x:v>
      </x:c>
      <x:c r="I181" s="33" t="n">
        <x:v>324</x:v>
      </x:c>
      <x:c r="J181" s="33" t="n">
        <x:v>223.56</x:v>
      </x:c>
      <x:c r="K181" s="33" t="n">
        <x:v>100.44</x:v>
      </x:c>
      <x:c r="L181" s="32" t="n">
        <x:v>3</x:v>
      </x:c>
      <x:c r="M181" s="32" t="str">
        <x:v>On Time</x:v>
      </x:c>
      <x:c r="N181" s="32" t="str">
        <x:v>No</x:v>
      </x:c>
      <x:c r="O181" s="32" t="n">
        <x:v>5</x:v>
      </x:c>
    </x:row>
    <x:row r="182">
      <x:c r="A182" s="30" t="str">
        <x:v>ORD-0181</x:v>
      </x:c>
      <x:c r="B182" s="31" t="n">
        <x:v>45671</x:v>
      </x:c>
      <x:c r="C182" s="30" t="str">
        <x:v>Jan</x:v>
      </x:c>
      <x:c r="D182" s="30" t="str">
        <x:v>North West</x:v>
      </x:c>
      <x:c r="E182" s="30" t="str">
        <x:v>Office Supplies</x:v>
      </x:c>
      <x:c r="F182" s="30" t="str">
        <x:v>Online</x:v>
      </x:c>
      <x:c r="G182" s="32" t="n">
        <x:v>5</x:v>
      </x:c>
      <x:c r="H182" s="33" t="n">
        <x:v>45</x:v>
      </x:c>
      <x:c r="I182" s="33" t="n">
        <x:v>225</x:v>
      </x:c>
      <x:c r="J182" s="33" t="n">
        <x:v>139.5</x:v>
      </x:c>
      <x:c r="K182" s="33" t="n">
        <x:v>85.5</x:v>
      </x:c>
      <x:c r="L182" s="32" t="n">
        <x:v>1</x:v>
      </x:c>
      <x:c r="M182" s="32" t="str">
        <x:v>On Time</x:v>
      </x:c>
      <x:c r="N182" s="32" t="str">
        <x:v>No</x:v>
      </x:c>
      <x:c r="O182" s="32" t="n">
        <x:v>4</x:v>
      </x:c>
    </x:row>
    <x:row r="183">
      <x:c r="A183" s="30" t="str">
        <x:v>ORD-0182</x:v>
      </x:c>
      <x:c r="B183" s="31" t="n">
        <x:v>45709</x:v>
      </x:c>
      <x:c r="C183" s="30" t="str">
        <x:v>Feb</x:v>
      </x:c>
      <x:c r="D183" s="30" t="str">
        <x:v>London</x:v>
      </x:c>
      <x:c r="E183" s="30" t="str">
        <x:v>Sports</x:v>
      </x:c>
      <x:c r="F183" s="30" t="str">
        <x:v>Store</x:v>
      </x:c>
      <x:c r="G183" s="32" t="n">
        <x:v>4</x:v>
      </x:c>
      <x:c r="H183" s="33" t="n">
        <x:v>51</x:v>
      </x:c>
      <x:c r="I183" s="33" t="n">
        <x:v>204</x:v>
      </x:c>
      <x:c r="J183" s="33" t="n">
        <x:v>144.84</x:v>
      </x:c>
      <x:c r="K183" s="33" t="n">
        <x:v>59.16</x:v>
      </x:c>
      <x:c r="L183" s="32" t="n">
        <x:v>6</x:v>
      </x:c>
      <x:c r="M183" s="32" t="str">
        <x:v>Late</x:v>
      </x:c>
      <x:c r="N183" s="32" t="str">
        <x:v>No</x:v>
      </x:c>
      <x:c r="O183" s="32" t="n">
        <x:v>4</x:v>
      </x:c>
    </x:row>
    <x:row r="184">
      <x:c r="A184" s="30" t="str">
        <x:v>ORD-0183</x:v>
      </x:c>
      <x:c r="B184" s="31" t="n">
        <x:v>45718</x:v>
      </x:c>
      <x:c r="C184" s="30" t="str">
        <x:v>Mar</x:v>
      </x:c>
      <x:c r="D184" s="30" t="str">
        <x:v>West Midlands</x:v>
      </x:c>
      <x:c r="E184" s="30" t="str">
        <x:v>Electronics</x:v>
      </x:c>
      <x:c r="F184" s="30" t="str">
        <x:v>Marketplace</x:v>
      </x:c>
      <x:c r="G184" s="32" t="n">
        <x:v>3</x:v>
      </x:c>
      <x:c r="H184" s="33" t="n">
        <x:v>90</x:v>
      </x:c>
      <x:c r="I184" s="33" t="n">
        <x:v>270</x:v>
      </x:c>
      <x:c r="J184" s="33" t="n">
        <x:v>210.6</x:v>
      </x:c>
      <x:c r="K184" s="33" t="n">
        <x:v>59.4</x:v>
      </x:c>
      <x:c r="L184" s="32" t="n">
        <x:v>3</x:v>
      </x:c>
      <x:c r="M184" s="32" t="str">
        <x:v>On Time</x:v>
      </x:c>
      <x:c r="N184" s="32" t="str">
        <x:v>No</x:v>
      </x:c>
      <x:c r="O184" s="32" t="n">
        <x:v>4</x:v>
      </x:c>
    </x:row>
    <x:row r="185">
      <x:c r="A185" s="30" t="str">
        <x:v>ORD-0184</x:v>
      </x:c>
      <x:c r="B185" s="31" t="n">
        <x:v>45756</x:v>
      </x:c>
      <x:c r="C185" s="30" t="str">
        <x:v>Apr</x:v>
      </x:c>
      <x:c r="D185" s="30" t="str">
        <x:v>East Midlands</x:v>
      </x:c>
      <x:c r="E185" s="30" t="str">
        <x:v>Home &amp; Kitchen</x:v>
      </x:c>
      <x:c r="F185" s="30" t="str">
        <x:v>Online</x:v>
      </x:c>
      <x:c r="G185" s="32" t="n">
        <x:v>2</x:v>
      </x:c>
      <x:c r="H185" s="33" t="n">
        <x:v>67</x:v>
      </x:c>
      <x:c r="I185" s="33" t="n">
        <x:v>134</x:v>
      </x:c>
      <x:c r="J185" s="33" t="n">
        <x:v>92.46</x:v>
      </x:c>
      <x:c r="K185" s="33" t="n">
        <x:v>41.54</x:v>
      </x:c>
      <x:c r="L185" s="32" t="n">
        <x:v>8</x:v>
      </x:c>
      <x:c r="M185" s="32" t="str">
        <x:v>Late</x:v>
      </x:c>
      <x:c r="N185" s="32" t="str">
        <x:v>No</x:v>
      </x:c>
      <x:c r="O185" s="32" t="n">
        <x:v>4</x:v>
      </x:c>
    </x:row>
    <x:row r="186">
      <x:c r="A186" s="30" t="str">
        <x:v>ORD-0185</x:v>
      </x:c>
      <x:c r="B186" s="31" t="n">
        <x:v>45793</x:v>
      </x:c>
      <x:c r="C186" s="30" t="str">
        <x:v>May</x:v>
      </x:c>
      <x:c r="D186" s="30" t="str">
        <x:v>North West</x:v>
      </x:c>
      <x:c r="E186" s="30" t="str">
        <x:v>Sports</x:v>
      </x:c>
      <x:c r="F186" s="30" t="str">
        <x:v>Store</x:v>
      </x:c>
      <x:c r="G186" s="32" t="n">
        <x:v>1</x:v>
      </x:c>
      <x:c r="H186" s="33" t="n">
        <x:v>53</x:v>
      </x:c>
      <x:c r="I186" s="33" t="n">
        <x:v>53</x:v>
      </x:c>
      <x:c r="J186" s="33" t="n">
        <x:v>37.63</x:v>
      </x:c>
      <x:c r="K186" s="33" t="n">
        <x:v>15.37</x:v>
      </x:c>
      <x:c r="L186" s="32" t="n">
        <x:v>5</x:v>
      </x:c>
      <x:c r="M186" s="32" t="str">
        <x:v>Late</x:v>
      </x:c>
      <x:c r="N186" s="32" t="str">
        <x:v>No</x:v>
      </x:c>
      <x:c r="O186" s="32" t="n">
        <x:v>3</x:v>
      </x:c>
    </x:row>
    <x:row r="187">
      <x:c r="A187" s="30" t="str">
        <x:v>ORD-0186</x:v>
      </x:c>
      <x:c r="B187" s="31" t="n">
        <x:v>45831</x:v>
      </x:c>
      <x:c r="C187" s="30" t="str">
        <x:v>Jun</x:v>
      </x:c>
      <x:c r="D187" s="30" t="str">
        <x:v>London</x:v>
      </x:c>
      <x:c r="E187" s="30" t="str">
        <x:v>Electronics</x:v>
      </x:c>
      <x:c r="F187" s="30" t="str">
        <x:v>Marketplace</x:v>
      </x:c>
      <x:c r="G187" s="32" t="n">
        <x:v>8</x:v>
      </x:c>
      <x:c r="H187" s="33" t="n">
        <x:v>92</x:v>
      </x:c>
      <x:c r="I187" s="33" t="n">
        <x:v>736</x:v>
      </x:c>
      <x:c r="J187" s="33" t="n">
        <x:v>574.08</x:v>
      </x:c>
      <x:c r="K187" s="33" t="n">
        <x:v>161.92</x:v>
      </x:c>
      <x:c r="L187" s="32" t="n">
        <x:v>2</x:v>
      </x:c>
      <x:c r="M187" s="32" t="str">
        <x:v>On Time</x:v>
      </x:c>
      <x:c r="N187" s="32" t="str">
        <x:v>No</x:v>
      </x:c>
      <x:c r="O187" s="32" t="n">
        <x:v>5</x:v>
      </x:c>
    </x:row>
    <x:row r="188">
      <x:c r="A188" s="30" t="str">
        <x:v>ORD-0187</x:v>
      </x:c>
      <x:c r="B188" s="31" t="n">
        <x:v>45842</x:v>
      </x:c>
      <x:c r="C188" s="30" t="str">
        <x:v>Jul</x:v>
      </x:c>
      <x:c r="D188" s="30" t="str">
        <x:v>West Midlands</x:v>
      </x:c>
      <x:c r="E188" s="30" t="str">
        <x:v>Home &amp; Kitchen</x:v>
      </x:c>
      <x:c r="F188" s="30" t="str">
        <x:v>Online</x:v>
      </x:c>
      <x:c r="G188" s="32" t="n">
        <x:v>7</x:v>
      </x:c>
      <x:c r="H188" s="33" t="n">
        <x:v>38</x:v>
      </x:c>
      <x:c r="I188" s="33" t="n">
        <x:v>266</x:v>
      </x:c>
      <x:c r="J188" s="33" t="n">
        <x:v>183.54</x:v>
      </x:c>
      <x:c r="K188" s="33" t="n">
        <x:v>82.46</x:v>
      </x:c>
      <x:c r="L188" s="32" t="n">
        <x:v>7</x:v>
      </x:c>
      <x:c r="M188" s="32" t="str">
        <x:v>Late</x:v>
      </x:c>
      <x:c r="N188" s="32" t="str">
        <x:v>No</x:v>
      </x:c>
      <x:c r="O188" s="32" t="n">
        <x:v>3</x:v>
      </x:c>
    </x:row>
    <x:row r="189">
      <x:c r="A189" s="30" t="str">
        <x:v>ORD-0188</x:v>
      </x:c>
      <x:c r="B189" s="31" t="n">
        <x:v>45880</x:v>
      </x:c>
      <x:c r="C189" s="30" t="str">
        <x:v>Aug</x:v>
      </x:c>
      <x:c r="D189" s="30" t="str">
        <x:v>East Midlands</x:v>
      </x:c>
      <x:c r="E189" s="30" t="str">
        <x:v>Office Supplies</x:v>
      </x:c>
      <x:c r="F189" s="30" t="str">
        <x:v>Store</x:v>
      </x:c>
      <x:c r="G189" s="32" t="n">
        <x:v>6</x:v>
      </x:c>
      <x:c r="H189" s="33" t="n">
        <x:v>29</x:v>
      </x:c>
      <x:c r="I189" s="33" t="n">
        <x:v>174</x:v>
      </x:c>
      <x:c r="J189" s="33" t="n">
        <x:v>107.88</x:v>
      </x:c>
      <x:c r="K189" s="33" t="n">
        <x:v>66.12</x:v>
      </x:c>
      <x:c r="L189" s="32" t="n">
        <x:v>4</x:v>
      </x:c>
      <x:c r="M189" s="32" t="str">
        <x:v>On Time</x:v>
      </x:c>
      <x:c r="N189" s="32" t="str">
        <x:v>No</x:v>
      </x:c>
      <x:c r="O189" s="32" t="n">
        <x:v>5</x:v>
      </x:c>
    </x:row>
    <x:row r="190">
      <x:c r="A190" s="30" t="str">
        <x:v>ORD-0189</x:v>
      </x:c>
      <x:c r="B190" s="31" t="n">
        <x:v>45918</x:v>
      </x:c>
      <x:c r="C190" s="30" t="str">
        <x:v>Sep</x:v>
      </x:c>
      <x:c r="D190" s="30" t="str">
        <x:v>North West</x:v>
      </x:c>
      <x:c r="E190" s="30" t="str">
        <x:v>Sports</x:v>
      </x:c>
      <x:c r="F190" s="30" t="str">
        <x:v>Marketplace</x:v>
      </x:c>
      <x:c r="G190" s="32" t="n">
        <x:v>5</x:v>
      </x:c>
      <x:c r="H190" s="33" t="n">
        <x:v>66</x:v>
      </x:c>
      <x:c r="I190" s="33" t="n">
        <x:v>330</x:v>
      </x:c>
      <x:c r="J190" s="33" t="n">
        <x:v>234.3</x:v>
      </x:c>
      <x:c r="K190" s="33" t="n">
        <x:v>95.7</x:v>
      </x:c>
      <x:c r="L190" s="32" t="n">
        <x:v>1</x:v>
      </x:c>
      <x:c r="M190" s="32" t="str">
        <x:v>On Time</x:v>
      </x:c>
      <x:c r="N190" s="32" t="str">
        <x:v>No</x:v>
      </x:c>
      <x:c r="O190" s="32" t="n">
        <x:v>4</x:v>
      </x:c>
    </x:row>
    <x:row r="191">
      <x:c r="A191" s="30" t="str">
        <x:v>ORD-0190</x:v>
      </x:c>
      <x:c r="B191" s="31" t="n">
        <x:v>45955</x:v>
      </x:c>
      <x:c r="C191" s="30" t="str">
        <x:v>Oct</x:v>
      </x:c>
      <x:c r="D191" s="30" t="str">
        <x:v>London</x:v>
      </x:c>
      <x:c r="E191" s="30" t="str">
        <x:v>Electronics</x:v>
      </x:c>
      <x:c r="F191" s="30" t="str">
        <x:v>Online</x:v>
      </x:c>
      <x:c r="G191" s="32" t="n">
        <x:v>4</x:v>
      </x:c>
      <x:c r="H191" s="33" t="n">
        <x:v>74</x:v>
      </x:c>
      <x:c r="I191" s="33" t="n">
        <x:v>296</x:v>
      </x:c>
      <x:c r="J191" s="33" t="n">
        <x:v>230.88</x:v>
      </x:c>
      <x:c r="K191" s="33" t="n">
        <x:v>65.12</x:v>
      </x:c>
      <x:c r="L191" s="32" t="n">
        <x:v>7</x:v>
      </x:c>
      <x:c r="M191" s="32" t="str">
        <x:v>Late</x:v>
      </x:c>
      <x:c r="N191" s="32" t="str">
        <x:v>No</x:v>
      </x:c>
      <x:c r="O191" s="32" t="n">
        <x:v>4</x:v>
      </x:c>
    </x:row>
    <x:row r="192">
      <x:c r="A192" s="30" t="str">
        <x:v>ORD-0191</x:v>
      </x:c>
      <x:c r="B192" s="31" t="n">
        <x:v>45967</x:v>
      </x:c>
      <x:c r="C192" s="30" t="str">
        <x:v>Nov</x:v>
      </x:c>
      <x:c r="D192" s="30" t="str">
        <x:v>West Midlands</x:v>
      </x:c>
      <x:c r="E192" s="30" t="str">
        <x:v>Home &amp; Kitchen</x:v>
      </x:c>
      <x:c r="F192" s="30" t="str">
        <x:v>Online</x:v>
      </x:c>
      <x:c r="G192" s="32" t="n">
        <x:v>3</x:v>
      </x:c>
      <x:c r="H192" s="33" t="n">
        <x:v>51</x:v>
      </x:c>
      <x:c r="I192" s="33" t="n">
        <x:v>153</x:v>
      </x:c>
      <x:c r="J192" s="33" t="n">
        <x:v>105.57</x:v>
      </x:c>
      <x:c r="K192" s="33" t="n">
        <x:v>47.43</x:v>
      </x:c>
      <x:c r="L192" s="32" t="n">
        <x:v>4</x:v>
      </x:c>
      <x:c r="M192" s="32" t="str">
        <x:v>On Time</x:v>
      </x:c>
      <x:c r="N192" s="32" t="str">
        <x:v>No</x:v>
      </x:c>
      <x:c r="O192" s="32" t="n">
        <x:v>4</x:v>
      </x:c>
    </x:row>
    <x:row r="193">
      <x:c r="A193" s="30" t="str">
        <x:v>ORD-0192</x:v>
      </x:c>
      <x:c r="B193" s="31" t="n">
        <x:v>46004</x:v>
      </x:c>
      <x:c r="C193" s="30" t="str">
        <x:v>Dec</x:v>
      </x:c>
      <x:c r="D193" s="30" t="str">
        <x:v>East Midlands</x:v>
      </x:c>
      <x:c r="E193" s="30" t="str">
        <x:v>Office Supplies</x:v>
      </x:c>
      <x:c r="F193" s="30" t="str">
        <x:v>Store</x:v>
      </x:c>
      <x:c r="G193" s="32" t="n">
        <x:v>2</x:v>
      </x:c>
      <x:c r="H193" s="33" t="n">
        <x:v>42</x:v>
      </x:c>
      <x:c r="I193" s="33" t="n">
        <x:v>84</x:v>
      </x:c>
      <x:c r="J193" s="33" t="n">
        <x:v>52.08</x:v>
      </x:c>
      <x:c r="K193" s="33" t="n">
        <x:v>31.92</x:v>
      </x:c>
      <x:c r="L193" s="32" t="n">
        <x:v>1</x:v>
      </x:c>
      <x:c r="M193" s="32" t="str">
        <x:v>On Time</x:v>
      </x:c>
      <x:c r="N193" s="32" t="str">
        <x:v>No</x:v>
      </x:c>
      <x:c r="O193" s="32" t="n">
        <x:v>5</x:v>
      </x:c>
    </x:row>
    <x:row r="194">
      <x:c r="A194" s="30" t="str">
        <x:v>ORD-0193</x:v>
      </x:c>
      <x:c r="B194" s="31" t="n">
        <x:v>45677</x:v>
      </x:c>
      <x:c r="C194" s="30" t="str">
        <x:v>Jan</x:v>
      </x:c>
      <x:c r="D194" s="30" t="str">
        <x:v>East Midlands</x:v>
      </x:c>
      <x:c r="E194" s="30" t="str">
        <x:v>Electronics</x:v>
      </x:c>
      <x:c r="F194" s="30" t="str">
        <x:v>Marketplace</x:v>
      </x:c>
      <x:c r="G194" s="32" t="n">
        <x:v>1</x:v>
      </x:c>
      <x:c r="H194" s="33" t="n">
        <x:v>76</x:v>
      </x:c>
      <x:c r="I194" s="33" t="n">
        <x:v>76</x:v>
      </x:c>
      <x:c r="J194" s="33" t="n">
        <x:v>59.28</x:v>
      </x:c>
      <x:c r="K194" s="33" t="n">
        <x:v>16.72</x:v>
      </x:c>
      <x:c r="L194" s="32" t="n">
        <x:v>6</x:v>
      </x:c>
      <x:c r="M194" s="32" t="str">
        <x:v>Late</x:v>
      </x:c>
      <x:c r="N194" s="32" t="str">
        <x:v>No</x:v>
      </x:c>
      <x:c r="O194" s="32" t="n">
        <x:v>3</x:v>
      </x:c>
    </x:row>
    <x:row r="195">
      <x:c r="A195" s="30" t="str">
        <x:v>ORD-0194</x:v>
      </x:c>
      <x:c r="B195" s="31" t="n">
        <x:v>45715</x:v>
      </x:c>
      <x:c r="C195" s="30" t="str">
        <x:v>Feb</x:v>
      </x:c>
      <x:c r="D195" s="30" t="str">
        <x:v>North West</x:v>
      </x:c>
      <x:c r="E195" s="30" t="str">
        <x:v>Home &amp; Kitchen</x:v>
      </x:c>
      <x:c r="F195" s="30" t="str">
        <x:v>Online</x:v>
      </x:c>
      <x:c r="G195" s="32" t="n">
        <x:v>8</x:v>
      </x:c>
      <x:c r="H195" s="33" t="n">
        <x:v>53</x:v>
      </x:c>
      <x:c r="I195" s="33" t="n">
        <x:v>424</x:v>
      </x:c>
      <x:c r="J195" s="33" t="n">
        <x:v>292.56</x:v>
      </x:c>
      <x:c r="K195" s="33" t="n">
        <x:v>131.44</x:v>
      </x:c>
      <x:c r="L195" s="32" t="n">
        <x:v>3</x:v>
      </x:c>
      <x:c r="M195" s="32" t="str">
        <x:v>On Time</x:v>
      </x:c>
      <x:c r="N195" s="32" t="str">
        <x:v>No</x:v>
      </x:c>
      <x:c r="O195" s="32" t="n">
        <x:v>5</x:v>
      </x:c>
    </x:row>
    <x:row r="196">
      <x:c r="A196" s="30" t="str">
        <x:v>ORD-0195</x:v>
      </x:c>
      <x:c r="B196" s="31" t="n">
        <x:v>45724</x:v>
      </x:c>
      <x:c r="C196" s="30" t="str">
        <x:v>Mar</x:v>
      </x:c>
      <x:c r="D196" s="30" t="str">
        <x:v>London</x:v>
      </x:c>
      <x:c r="E196" s="30" t="str">
        <x:v>Office Supplies</x:v>
      </x:c>
      <x:c r="F196" s="30" t="str">
        <x:v>Store</x:v>
      </x:c>
      <x:c r="G196" s="32" t="n">
        <x:v>7</x:v>
      </x:c>
      <x:c r="H196" s="33" t="n">
        <x:v>44</x:v>
      </x:c>
      <x:c r="I196" s="33" t="n">
        <x:v>308</x:v>
      </x:c>
      <x:c r="J196" s="33" t="n">
        <x:v>190.96</x:v>
      </x:c>
      <x:c r="K196" s="33" t="n">
        <x:v>117.04</x:v>
      </x:c>
      <x:c r="L196" s="32" t="n">
        <x:v>8</x:v>
      </x:c>
      <x:c r="M196" s="32" t="str">
        <x:v>Late</x:v>
      </x:c>
      <x:c r="N196" s="32" t="str">
        <x:v>No</x:v>
      </x:c>
      <x:c r="O196" s="32" t="n">
        <x:v>3</x:v>
      </x:c>
    </x:row>
    <x:row r="197">
      <x:c r="A197" s="30" t="str">
        <x:v>ORD-0196</x:v>
      </x:c>
      <x:c r="B197" s="31" t="n">
        <x:v>45762</x:v>
      </x:c>
      <x:c r="C197" s="30" t="str">
        <x:v>Apr</x:v>
      </x:c>
      <x:c r="D197" s="30" t="str">
        <x:v>West Midlands</x:v>
      </x:c>
      <x:c r="E197" s="30" t="str">
        <x:v>Sports</x:v>
      </x:c>
      <x:c r="F197" s="30" t="str">
        <x:v>Marketplace</x:v>
      </x:c>
      <x:c r="G197" s="32" t="n">
        <x:v>6</x:v>
      </x:c>
      <x:c r="H197" s="33" t="n">
        <x:v>50</x:v>
      </x:c>
      <x:c r="I197" s="33" t="n">
        <x:v>300</x:v>
      </x:c>
      <x:c r="J197" s="33" t="n">
        <x:v>213</x:v>
      </x:c>
      <x:c r="K197" s="33" t="n">
        <x:v>87</x:v>
      </x:c>
      <x:c r="L197" s="32" t="n">
        <x:v>5</x:v>
      </x:c>
      <x:c r="M197" s="32" t="str">
        <x:v>Late</x:v>
      </x:c>
      <x:c r="N197" s="32" t="str">
        <x:v>No</x:v>
      </x:c>
      <x:c r="O197" s="32" t="n">
        <x:v>4</x:v>
      </x:c>
    </x:row>
    <x:row r="198">
      <x:c r="A198" s="30" t="str">
        <x:v>ORD-0197</x:v>
      </x:c>
      <x:c r="B198" s="31" t="n">
        <x:v>45799</x:v>
      </x:c>
      <x:c r="C198" s="30" t="str">
        <x:v>May</x:v>
      </x:c>
      <x:c r="D198" s="30" t="str">
        <x:v>East Midlands</x:v>
      </x:c>
      <x:c r="E198" s="30" t="str">
        <x:v>Electronics</x:v>
      </x:c>
      <x:c r="F198" s="30" t="str">
        <x:v>Online</x:v>
      </x:c>
      <x:c r="G198" s="32" t="n">
        <x:v>5</x:v>
      </x:c>
      <x:c r="H198" s="33" t="n">
        <x:v>89</x:v>
      </x:c>
      <x:c r="I198" s="33" t="n">
        <x:v>445</x:v>
      </x:c>
      <x:c r="J198" s="33" t="n">
        <x:v>347.1</x:v>
      </x:c>
      <x:c r="K198" s="33" t="n">
        <x:v>97.9</x:v>
      </x:c>
      <x:c r="L198" s="32" t="n">
        <x:v>2</x:v>
      </x:c>
      <x:c r="M198" s="32" t="str">
        <x:v>On Time</x:v>
      </x:c>
      <x:c r="N198" s="32" t="str">
        <x:v>No</x:v>
      </x:c>
      <x:c r="O198" s="32" t="n">
        <x:v>4</x:v>
      </x:c>
    </x:row>
    <x:row r="199">
      <x:c r="A199" s="30" t="str">
        <x:v>ORD-0198</x:v>
      </x:c>
      <x:c r="B199" s="31" t="n">
        <x:v>45811</x:v>
      </x:c>
      <x:c r="C199" s="30" t="str">
        <x:v>Jun</x:v>
      </x:c>
      <x:c r="D199" s="30" t="str">
        <x:v>North West</x:v>
      </x:c>
      <x:c r="E199" s="30" t="str">
        <x:v>Home &amp; Kitchen</x:v>
      </x:c>
      <x:c r="F199" s="30" t="str">
        <x:v>Store</x:v>
      </x:c>
      <x:c r="G199" s="32" t="n">
        <x:v>4</x:v>
      </x:c>
      <x:c r="H199" s="33" t="n">
        <x:v>66</x:v>
      </x:c>
      <x:c r="I199" s="33" t="n">
        <x:v>264</x:v>
      </x:c>
      <x:c r="J199" s="33" t="n">
        <x:v>182.16</x:v>
      </x:c>
      <x:c r="K199" s="33" t="n">
        <x:v>81.84</x:v>
      </x:c>
      <x:c r="L199" s="32" t="n">
        <x:v>7</x:v>
      </x:c>
      <x:c r="M199" s="32" t="str">
        <x:v>Late</x:v>
      </x:c>
      <x:c r="N199" s="32" t="str">
        <x:v>No</x:v>
      </x:c>
      <x:c r="O199" s="32" t="n">
        <x:v>4</x:v>
      </x:c>
    </x:row>
    <x:row r="200">
      <x:c r="A200" s="30" t="str">
        <x:v>ORD-0199</x:v>
      </x:c>
      <x:c r="B200" s="31" t="n">
        <x:v>45848</x:v>
      </x:c>
      <x:c r="C200" s="30" t="str">
        <x:v>Jul</x:v>
      </x:c>
      <x:c r="D200" s="30" t="str">
        <x:v>London</x:v>
      </x:c>
      <x:c r="E200" s="30" t="str">
        <x:v>Office Supplies</x:v>
      </x:c>
      <x:c r="F200" s="30" t="str">
        <x:v>Marketplace</x:v>
      </x:c>
      <x:c r="G200" s="32" t="n">
        <x:v>3</x:v>
      </x:c>
      <x:c r="H200" s="33" t="n">
        <x:v>26</x:v>
      </x:c>
      <x:c r="I200" s="33" t="n">
        <x:v>78</x:v>
      </x:c>
      <x:c r="J200" s="33" t="n">
        <x:v>48.36</x:v>
      </x:c>
      <x:c r="K200" s="33" t="n">
        <x:v>29.64</x:v>
      </x:c>
      <x:c r="L200" s="32" t="n">
        <x:v>5</x:v>
      </x:c>
      <x:c r="M200" s="32" t="str">
        <x:v>Late</x:v>
      </x:c>
      <x:c r="N200" s="32" t="str">
        <x:v>No</x:v>
      </x:c>
      <x:c r="O200" s="32" t="n">
        <x:v>3</x:v>
      </x:c>
    </x:row>
    <x:row r="201">
      <x:c r="A201" s="30" t="str">
        <x:v>ORD-0200</x:v>
      </x:c>
      <x:c r="B201" s="31" t="n">
        <x:v>45886</x:v>
      </x:c>
      <x:c r="C201" s="30" t="str">
        <x:v>Aug</x:v>
      </x:c>
      <x:c r="D201" s="30" t="str">
        <x:v>West Midlands</x:v>
      </x:c>
      <x:c r="E201" s="30" t="str">
        <x:v>Sports</x:v>
      </x:c>
      <x:c r="F201" s="30" t="str">
        <x:v>Online</x:v>
      </x:c>
      <x:c r="G201" s="32" t="n">
        <x:v>2</x:v>
      </x:c>
      <x:c r="H201" s="33" t="n">
        <x:v>63</x:v>
      </x:c>
      <x:c r="I201" s="33" t="n">
        <x:v>126</x:v>
      </x:c>
      <x:c r="J201" s="33" t="n">
        <x:v>89.46</x:v>
      </x:c>
      <x:c r="K201" s="33" t="n">
        <x:v>36.54</x:v>
      </x:c>
      <x:c r="L201" s="32" t="n">
        <x:v>2</x:v>
      </x:c>
      <x:c r="M201" s="32" t="str">
        <x:v>On Time</x:v>
      </x:c>
      <x:c r="N201" s="32" t="str">
        <x:v>No</x:v>
      </x:c>
      <x:c r="O201" s="32" t="n">
        <x:v>5</x:v>
      </x:c>
    </x:row>
    <x:row r="202">
      <x:c r="A202" s="30" t="str">
        <x:v>ORD-0201</x:v>
      </x:c>
      <x:c r="B202" s="31" t="n">
        <x:v>45924</x:v>
      </x:c>
      <x:c r="C202" s="30" t="str">
        <x:v>Sep</x:v>
      </x:c>
      <x:c r="D202" s="30" t="str">
        <x:v>East Midlands</x:v>
      </x:c>
      <x:c r="E202" s="30" t="str">
        <x:v>Home &amp; Kitchen</x:v>
      </x:c>
      <x:c r="F202" s="30" t="str">
        <x:v>Online</x:v>
      </x:c>
      <x:c r="G202" s="32" t="n">
        <x:v>1</x:v>
      </x:c>
      <x:c r="H202" s="33" t="n">
        <x:v>68</x:v>
      </x:c>
      <x:c r="I202" s="33" t="n">
        <x:v>68</x:v>
      </x:c>
      <x:c r="J202" s="33" t="n">
        <x:v>46.92</x:v>
      </x:c>
      <x:c r="K202" s="33" t="n">
        <x:v>21.08</x:v>
      </x:c>
      <x:c r="L202" s="32" t="n">
        <x:v>7</x:v>
      </x:c>
      <x:c r="M202" s="32" t="str">
        <x:v>Late</x:v>
      </x:c>
      <x:c r="N202" s="32" t="str">
        <x:v>No</x:v>
      </x:c>
      <x:c r="O202" s="32" t="n">
        <x:v>3</x:v>
      </x:c>
    </x:row>
    <x:row r="203">
      <x:c r="A203" s="30" t="str">
        <x:v>ORD-0202</x:v>
      </x:c>
      <x:c r="B203" s="31" t="n">
        <x:v>45935</x:v>
      </x:c>
      <x:c r="C203" s="30" t="str">
        <x:v>Oct</x:v>
      </x:c>
      <x:c r="D203" s="30" t="str">
        <x:v>North West</x:v>
      </x:c>
      <x:c r="E203" s="30" t="str">
        <x:v>Office Supplies</x:v>
      </x:c>
      <x:c r="F203" s="30" t="str">
        <x:v>Store</x:v>
      </x:c>
      <x:c r="G203" s="32" t="n">
        <x:v>8</x:v>
      </x:c>
      <x:c r="H203" s="33" t="n">
        <x:v>28</x:v>
      </x:c>
      <x:c r="I203" s="33" t="n">
        <x:v>224</x:v>
      </x:c>
      <x:c r="J203" s="33" t="n">
        <x:v>138.88</x:v>
      </x:c>
      <x:c r="K203" s="33" t="n">
        <x:v>85.12</x:v>
      </x:c>
      <x:c r="L203" s="32" t="n">
        <x:v>4</x:v>
      </x:c>
      <x:c r="M203" s="32" t="str">
        <x:v>On Time</x:v>
      </x:c>
      <x:c r="N203" s="32" t="str">
        <x:v>No</x:v>
      </x:c>
      <x:c r="O203" s="32" t="n">
        <x:v>5</x:v>
      </x:c>
    </x:row>
    <x:row r="204">
      <x:c r="A204" s="30" t="str">
        <x:v>ORD-0203</x:v>
      </x:c>
      <x:c r="B204" s="31" t="n">
        <x:v>45973</x:v>
      </x:c>
      <x:c r="C204" s="30" t="str">
        <x:v>Nov</x:v>
      </x:c>
      <x:c r="D204" s="30" t="str">
        <x:v>London</x:v>
      </x:c>
      <x:c r="E204" s="30" t="str">
        <x:v>Sports</x:v>
      </x:c>
      <x:c r="F204" s="30" t="str">
        <x:v>Marketplace</x:v>
      </x:c>
      <x:c r="G204" s="32" t="n">
        <x:v>7</x:v>
      </x:c>
      <x:c r="H204" s="33" t="n">
        <x:v>65</x:v>
      </x:c>
      <x:c r="I204" s="33" t="n">
        <x:v>455</x:v>
      </x:c>
      <x:c r="J204" s="33" t="n">
        <x:v>323.05</x:v>
      </x:c>
      <x:c r="K204" s="33" t="n">
        <x:v>131.95</x:v>
      </x:c>
      <x:c r="L204" s="32" t="n">
        <x:v>1</x:v>
      </x:c>
      <x:c r="M204" s="32" t="str">
        <x:v>On Time</x:v>
      </x:c>
      <x:c r="N204" s="32" t="str">
        <x:v>No</x:v>
      </x:c>
      <x:c r="O204" s="32" t="n">
        <x:v>4</x:v>
      </x:c>
    </x:row>
    <x:row r="205">
      <x:c r="A205" s="30" t="str">
        <x:v>ORD-0204</x:v>
      </x:c>
      <x:c r="B205" s="31" t="n">
        <x:v>46010</x:v>
      </x:c>
      <x:c r="C205" s="30" t="str">
        <x:v>Dec</x:v>
      </x:c>
      <x:c r="D205" s="30" t="str">
        <x:v>West Midlands</x:v>
      </x:c>
      <x:c r="E205" s="30" t="str">
        <x:v>Electronics</x:v>
      </x:c>
      <x:c r="F205" s="30" t="str">
        <x:v>Online</x:v>
      </x:c>
      <x:c r="G205" s="32" t="n">
        <x:v>6</x:v>
      </x:c>
      <x:c r="H205" s="33" t="n">
        <x:v>73</x:v>
      </x:c>
      <x:c r="I205" s="33" t="n">
        <x:v>438</x:v>
      </x:c>
      <x:c r="J205" s="33" t="n">
        <x:v>341.64</x:v>
      </x:c>
      <x:c r="K205" s="33" t="n">
        <x:v>96.36</x:v>
      </x:c>
      <x:c r="L205" s="32" t="n">
        <x:v>6</x:v>
      </x:c>
      <x:c r="M205" s="32" t="str">
        <x:v>Late</x:v>
      </x:c>
      <x:c r="N205" s="32" t="str">
        <x:v>Yes</x:v>
      </x:c>
      <x:c r="O205" s="32" t="n">
        <x:v>3</x:v>
      </x:c>
    </x:row>
    <x:row r="206">
      <x:c r="A206" s="30" t="str">
        <x:v>ORD-0205</x:v>
      </x:c>
      <x:c r="B206" s="31" t="n">
        <x:v>45683</x:v>
      </x:c>
      <x:c r="C206" s="30" t="str">
        <x:v>Jan</x:v>
      </x:c>
      <x:c r="D206" s="30" t="str">
        <x:v>West Midlands</x:v>
      </x:c>
      <x:c r="E206" s="30" t="str">
        <x:v>Home &amp; Kitchen</x:v>
      </x:c>
      <x:c r="F206" s="30" t="str">
        <x:v>Store</x:v>
      </x:c>
      <x:c r="G206" s="32" t="n">
        <x:v>5</x:v>
      </x:c>
      <x:c r="H206" s="33" t="n">
        <x:v>50</x:v>
      </x:c>
      <x:c r="I206" s="33" t="n">
        <x:v>250</x:v>
      </x:c>
      <x:c r="J206" s="33" t="n">
        <x:v>172.5</x:v>
      </x:c>
      <x:c r="K206" s="33" t="n">
        <x:v>77.5</x:v>
      </x:c>
      <x:c r="L206" s="32" t="n">
        <x:v>3</x:v>
      </x:c>
      <x:c r="M206" s="32" t="str">
        <x:v>On Time</x:v>
      </x:c>
      <x:c r="N206" s="32" t="str">
        <x:v>No</x:v>
      </x:c>
      <x:c r="O206" s="32" t="n">
        <x:v>4</x:v>
      </x:c>
    </x:row>
    <x:row r="207">
      <x:c r="A207" s="30" t="str">
        <x:v>ORD-0206</x:v>
      </x:c>
      <x:c r="B207" s="31" t="n">
        <x:v>45695</x:v>
      </x:c>
      <x:c r="C207" s="30" t="str">
        <x:v>Feb</x:v>
      </x:c>
      <x:c r="D207" s="30" t="str">
        <x:v>East Midlands</x:v>
      </x:c>
      <x:c r="E207" s="30" t="str">
        <x:v>Office Supplies</x:v>
      </x:c>
      <x:c r="F207" s="30" t="str">
        <x:v>Marketplace</x:v>
      </x:c>
      <x:c r="G207" s="32" t="n">
        <x:v>4</x:v>
      </x:c>
      <x:c r="H207" s="33" t="n">
        <x:v>41</x:v>
      </x:c>
      <x:c r="I207" s="33" t="n">
        <x:v>164</x:v>
      </x:c>
      <x:c r="J207" s="33" t="n">
        <x:v>101.68</x:v>
      </x:c>
      <x:c r="K207" s="33" t="n">
        <x:v>62.32</x:v>
      </x:c>
      <x:c r="L207" s="32" t="n">
        <x:v>8</x:v>
      </x:c>
      <x:c r="M207" s="32" t="str">
        <x:v>Late</x:v>
      </x:c>
      <x:c r="N207" s="32" t="str">
        <x:v>No</x:v>
      </x:c>
      <x:c r="O207" s="32" t="n">
        <x:v>4</x:v>
      </x:c>
    </x:row>
    <x:row r="208">
      <x:c r="A208" s="30" t="str">
        <x:v>ORD-0207</x:v>
      </x:c>
      <x:c r="B208" s="31" t="n">
        <x:v>45730</x:v>
      </x:c>
      <x:c r="C208" s="30" t="str">
        <x:v>Mar</x:v>
      </x:c>
      <x:c r="D208" s="30" t="str">
        <x:v>North West</x:v>
      </x:c>
      <x:c r="E208" s="30" t="str">
        <x:v>Sports</x:v>
      </x:c>
      <x:c r="F208" s="30" t="str">
        <x:v>Online</x:v>
      </x:c>
      <x:c r="G208" s="32" t="n">
        <x:v>3</x:v>
      </x:c>
      <x:c r="H208" s="33" t="n">
        <x:v>47</x:v>
      </x:c>
      <x:c r="I208" s="33" t="n">
        <x:v>141</x:v>
      </x:c>
      <x:c r="J208" s="33" t="n">
        <x:v>100.11</x:v>
      </x:c>
      <x:c r="K208" s="33" t="n">
        <x:v>40.89</x:v>
      </x:c>
      <x:c r="L208" s="32" t="n">
        <x:v>5</x:v>
      </x:c>
      <x:c r="M208" s="32" t="str">
        <x:v>Late</x:v>
      </x:c>
      <x:c r="N208" s="32" t="str">
        <x:v>No</x:v>
      </x:c>
      <x:c r="O208" s="32" t="n">
        <x:v>3</x:v>
      </x:c>
    </x:row>
    <x:row r="209">
      <x:c r="A209" s="30" t="str">
        <x:v>ORD-0208</x:v>
      </x:c>
      <x:c r="B209" s="31" t="n">
        <x:v>45768</x:v>
      </x:c>
      <x:c r="C209" s="30" t="str">
        <x:v>Apr</x:v>
      </x:c>
      <x:c r="D209" s="30" t="str">
        <x:v>London</x:v>
      </x:c>
      <x:c r="E209" s="30" t="str">
        <x:v>Electronics</x:v>
      </x:c>
      <x:c r="F209" s="30" t="str">
        <x:v>Store</x:v>
      </x:c>
      <x:c r="G209" s="32" t="n">
        <x:v>2</x:v>
      </x:c>
      <x:c r="H209" s="33" t="n">
        <x:v>86</x:v>
      </x:c>
      <x:c r="I209" s="33" t="n">
        <x:v>172</x:v>
      </x:c>
      <x:c r="J209" s="33" t="n">
        <x:v>134.16</x:v>
      </x:c>
      <x:c r="K209" s="33" t="n">
        <x:v>37.84</x:v>
      </x:c>
      <x:c r="L209" s="32" t="n">
        <x:v>3</x:v>
      </x:c>
      <x:c r="M209" s="32" t="str">
        <x:v>On Time</x:v>
      </x:c>
      <x:c r="N209" s="32" t="str">
        <x:v>No</x:v>
      </x:c>
      <x:c r="O209" s="32" t="n">
        <x:v>5</x:v>
      </x:c>
    </x:row>
    <x:row r="210">
      <x:c r="A210" s="30" t="str">
        <x:v>ORD-0209</x:v>
      </x:c>
      <x:c r="B210" s="31" t="n">
        <x:v>45779</x:v>
      </x:c>
      <x:c r="C210" s="30" t="str">
        <x:v>May</x:v>
      </x:c>
      <x:c r="D210" s="30" t="str">
        <x:v>West Midlands</x:v>
      </x:c>
      <x:c r="E210" s="30" t="str">
        <x:v>Office Supplies</x:v>
      </x:c>
      <x:c r="F210" s="30" t="str">
        <x:v>Marketplace</x:v>
      </x:c>
      <x:c r="G210" s="32" t="n">
        <x:v>1</x:v>
      </x:c>
      <x:c r="H210" s="33" t="n">
        <x:v>43</x:v>
      </x:c>
      <x:c r="I210" s="33" t="n">
        <x:v>43</x:v>
      </x:c>
      <x:c r="J210" s="33" t="n">
        <x:v>26.66</x:v>
      </x:c>
      <x:c r="K210" s="33" t="n">
        <x:v>16.34</x:v>
      </x:c>
      <x:c r="L210" s="32" t="n">
        <x:v>8</x:v>
      </x:c>
      <x:c r="M210" s="32" t="str">
        <x:v>Late</x:v>
      </x:c>
      <x:c r="N210" s="32" t="str">
        <x:v>No</x:v>
      </x:c>
      <x:c r="O210" s="32" t="n">
        <x:v>3</x:v>
      </x:c>
    </x:row>
    <x:row r="211">
      <x:c r="A211" s="30" t="str">
        <x:v>ORD-0210</x:v>
      </x:c>
      <x:c r="B211" s="31" t="n">
        <x:v>45817</x:v>
      </x:c>
      <x:c r="C211" s="30" t="str">
        <x:v>Jun</x:v>
      </x:c>
      <x:c r="D211" s="30" t="str">
        <x:v>East Midlands</x:v>
      </x:c>
      <x:c r="E211" s="30" t="str">
        <x:v>Sports</x:v>
      </x:c>
      <x:c r="F211" s="30" t="str">
        <x:v>Online</x:v>
      </x:c>
      <x:c r="G211" s="32" t="n">
        <x:v>8</x:v>
      </x:c>
      <x:c r="H211" s="33" t="n">
        <x:v>49</x:v>
      </x:c>
      <x:c r="I211" s="33" t="n">
        <x:v>392</x:v>
      </x:c>
      <x:c r="J211" s="33" t="n">
        <x:v>278.32</x:v>
      </x:c>
      <x:c r="K211" s="33" t="n">
        <x:v>113.68</x:v>
      </x:c>
      <x:c r="L211" s="32" t="n">
        <x:v>5</x:v>
      </x:c>
      <x:c r="M211" s="32" t="str">
        <x:v>Late</x:v>
      </x:c>
      <x:c r="N211" s="32" t="str">
        <x:v>No</x:v>
      </x:c>
      <x:c r="O211" s="32" t="n">
        <x:v>4</x:v>
      </x:c>
    </x:row>
    <x:row r="212">
      <x:c r="A212" s="30" t="str">
        <x:v>ORD-0211</x:v>
      </x:c>
      <x:c r="B212" s="31" t="n">
        <x:v>45854</x:v>
      </x:c>
      <x:c r="C212" s="30" t="str">
        <x:v>Jul</x:v>
      </x:c>
      <x:c r="D212" s="30" t="str">
        <x:v>North West</x:v>
      </x:c>
      <x:c r="E212" s="30" t="str">
        <x:v>Electronics</x:v>
      </x:c>
      <x:c r="F212" s="30" t="str">
        <x:v>Online</x:v>
      </x:c>
      <x:c r="G212" s="32" t="n">
        <x:v>7</x:v>
      </x:c>
      <x:c r="H212" s="33" t="n">
        <x:v>88</x:v>
      </x:c>
      <x:c r="I212" s="33" t="n">
        <x:v>616</x:v>
      </x:c>
      <x:c r="J212" s="33" t="n">
        <x:v>480.48</x:v>
      </x:c>
      <x:c r="K212" s="33" t="n">
        <x:v>135.52</x:v>
      </x:c>
      <x:c r="L212" s="32" t="n">
        <x:v>2</x:v>
      </x:c>
      <x:c r="M212" s="32" t="str">
        <x:v>On Time</x:v>
      </x:c>
      <x:c r="N212" s="32" t="str">
        <x:v>No</x:v>
      </x:c>
      <x:c r="O212" s="32" t="n">
        <x:v>4</x:v>
      </x:c>
    </x:row>
    <x:row r="213">
      <x:c r="A213" s="30" t="str">
        <x:v>ORD-0212</x:v>
      </x:c>
      <x:c r="B213" s="31" t="n">
        <x:v>45892</x:v>
      </x:c>
      <x:c r="C213" s="30" t="str">
        <x:v>Aug</x:v>
      </x:c>
      <x:c r="D213" s="30" t="str">
        <x:v>London</x:v>
      </x:c>
      <x:c r="E213" s="30" t="str">
        <x:v>Home &amp; Kitchen</x:v>
      </x:c>
      <x:c r="F213" s="30" t="str">
        <x:v>Store</x:v>
      </x:c>
      <x:c r="G213" s="32" t="n">
        <x:v>6</x:v>
      </x:c>
      <x:c r="H213" s="33" t="n">
        <x:v>65</x:v>
      </x:c>
      <x:c r="I213" s="33" t="n">
        <x:v>390</x:v>
      </x:c>
      <x:c r="J213" s="33" t="n">
        <x:v>269.1</x:v>
      </x:c>
      <x:c r="K213" s="33" t="n">
        <x:v>120.9</x:v>
      </x:c>
      <x:c r="L213" s="32" t="n">
        <x:v>7</x:v>
      </x:c>
      <x:c r="M213" s="32" t="str">
        <x:v>Late</x:v>
      </x:c>
      <x:c r="N213" s="32" t="str">
        <x:v>No</x:v>
      </x:c>
      <x:c r="O213" s="32" t="n">
        <x:v>4</x:v>
      </x:c>
    </x:row>
    <x:row r="214">
      <x:c r="A214" s="30" t="str">
        <x:v>ORD-0213</x:v>
      </x:c>
      <x:c r="B214" s="31" t="n">
        <x:v>45904</x:v>
      </x:c>
      <x:c r="C214" s="30" t="str">
        <x:v>Sep</x:v>
      </x:c>
      <x:c r="D214" s="30" t="str">
        <x:v>West Midlands</x:v>
      </x:c>
      <x:c r="E214" s="30" t="str">
        <x:v>Office Supplies</x:v>
      </x:c>
      <x:c r="F214" s="30" t="str">
        <x:v>Marketplace</x:v>
      </x:c>
      <x:c r="G214" s="32" t="n">
        <x:v>5</x:v>
      </x:c>
      <x:c r="H214" s="33" t="n">
        <x:v>25</x:v>
      </x:c>
      <x:c r="I214" s="33" t="n">
        <x:v>125</x:v>
      </x:c>
      <x:c r="J214" s="33" t="n">
        <x:v>77.5</x:v>
      </x:c>
      <x:c r="K214" s="33" t="n">
        <x:v>47.5</x:v>
      </x:c>
      <x:c r="L214" s="32" t="n">
        <x:v>4</x:v>
      </x:c>
      <x:c r="M214" s="32" t="str">
        <x:v>On Time</x:v>
      </x:c>
      <x:c r="N214" s="32" t="str">
        <x:v>No</x:v>
      </x:c>
      <x:c r="O214" s="32" t="n">
        <x:v>4</x:v>
      </x:c>
    </x:row>
    <x:row r="215">
      <x:c r="A215" s="30" t="str">
        <x:v>ORD-0214</x:v>
      </x:c>
      <x:c r="B215" s="31" t="n">
        <x:v>45941</x:v>
      </x:c>
      <x:c r="C215" s="30" t="str">
        <x:v>Oct</x:v>
      </x:c>
      <x:c r="D215" s="30" t="str">
        <x:v>East Midlands</x:v>
      </x:c>
      <x:c r="E215" s="30" t="str">
        <x:v>Sports</x:v>
      </x:c>
      <x:c r="F215" s="30" t="str">
        <x:v>Online</x:v>
      </x:c>
      <x:c r="G215" s="32" t="n">
        <x:v>4</x:v>
      </x:c>
      <x:c r="H215" s="33" t="n">
        <x:v>62</x:v>
      </x:c>
      <x:c r="I215" s="33" t="n">
        <x:v>248</x:v>
      </x:c>
      <x:c r="J215" s="33" t="n">
        <x:v>176.08</x:v>
      </x:c>
      <x:c r="K215" s="33" t="n">
        <x:v>71.92</x:v>
      </x:c>
      <x:c r="L215" s="32" t="n">
        <x:v>1</x:v>
      </x:c>
      <x:c r="M215" s="32" t="str">
        <x:v>On Time</x:v>
      </x:c>
      <x:c r="N215" s="32" t="str">
        <x:v>No</x:v>
      </x:c>
      <x:c r="O215" s="32" t="n">
        <x:v>5</x:v>
      </x:c>
    </x:row>
    <x:row r="216">
      <x:c r="A216" s="30" t="str">
        <x:v>ORD-0215</x:v>
      </x:c>
      <x:c r="B216" s="31" t="n">
        <x:v>45979</x:v>
      </x:c>
      <x:c r="C216" s="30" t="str">
        <x:v>Nov</x:v>
      </x:c>
      <x:c r="D216" s="30" t="str">
        <x:v>North West</x:v>
      </x:c>
      <x:c r="E216" s="30" t="str">
        <x:v>Electronics</x:v>
      </x:c>
      <x:c r="F216" s="30" t="str">
        <x:v>Store</x:v>
      </x:c>
      <x:c r="G216" s="32" t="n">
        <x:v>3</x:v>
      </x:c>
      <x:c r="H216" s="33" t="n">
        <x:v>101</x:v>
      </x:c>
      <x:c r="I216" s="33" t="n">
        <x:v>303</x:v>
      </x:c>
      <x:c r="J216" s="33" t="n">
        <x:v>236.34</x:v>
      </x:c>
      <x:c r="K216" s="33" t="n">
        <x:v>66.66</x:v>
      </x:c>
      <x:c r="L216" s="32" t="n">
        <x:v>6</x:v>
      </x:c>
      <x:c r="M216" s="32" t="str">
        <x:v>Late</x:v>
      </x:c>
      <x:c r="N216" s="32" t="str">
        <x:v>No</x:v>
      </x:c>
      <x:c r="O216" s="32" t="n">
        <x:v>3</x:v>
      </x:c>
    </x:row>
    <x:row r="217">
      <x:c r="A217" s="30" t="str">
        <x:v>ORD-0216</x:v>
      </x:c>
      <x:c r="B217" s="31" t="n">
        <x:v>46016</x:v>
      </x:c>
      <x:c r="C217" s="30" t="str">
        <x:v>Dec</x:v>
      </x:c>
      <x:c r="D217" s="30" t="str">
        <x:v>London</x:v>
      </x:c>
      <x:c r="E217" s="30" t="str">
        <x:v>Home &amp; Kitchen</x:v>
      </x:c>
      <x:c r="F217" s="30" t="str">
        <x:v>Marketplace</x:v>
      </x:c>
      <x:c r="G217" s="32" t="n">
        <x:v>2</x:v>
      </x:c>
      <x:c r="H217" s="33" t="n">
        <x:v>47</x:v>
      </x:c>
      <x:c r="I217" s="33" t="n">
        <x:v>94</x:v>
      </x:c>
      <x:c r="J217" s="33" t="n">
        <x:v>64.86</x:v>
      </x:c>
      <x:c r="K217" s="33" t="n">
        <x:v>29.14</x:v>
      </x:c>
      <x:c r="L217" s="32" t="n">
        <x:v>3</x:v>
      </x:c>
      <x:c r="M217" s="32" t="str">
        <x:v>On Time</x:v>
      </x:c>
      <x:c r="N217" s="32" t="str">
        <x:v>No</x:v>
      </x:c>
      <x:c r="O217" s="32" t="n">
        <x:v>5</x:v>
      </x:c>
    </x:row>
    <x:row r="218">
      <x:c r="A218" s="30" t="str">
        <x:v>ORD-0217</x:v>
      </x:c>
      <x:c r="B218" s="31" t="n">
        <x:v>45663</x:v>
      </x:c>
      <x:c r="C218" s="30" t="str">
        <x:v>Jan</x:v>
      </x:c>
      <x:c r="D218" s="30" t="str">
        <x:v>London</x:v>
      </x:c>
      <x:c r="E218" s="30" t="str">
        <x:v>Sports</x:v>
      </x:c>
      <x:c r="F218" s="30" t="str">
        <x:v>Online</x:v>
      </x:c>
      <x:c r="G218" s="32" t="n">
        <x:v>1</x:v>
      </x:c>
      <x:c r="H218" s="33" t="n">
        <x:v>64</x:v>
      </x:c>
      <x:c r="I218" s="33" t="n">
        <x:v>64</x:v>
      </x:c>
      <x:c r="J218" s="33" t="n">
        <x:v>45.44</x:v>
      </x:c>
      <x:c r="K218" s="33" t="n">
        <x:v>18.56</x:v>
      </x:c>
      <x:c r="L218" s="32" t="n">
        <x:v>1</x:v>
      </x:c>
      <x:c r="M218" s="32" t="str">
        <x:v>On Time</x:v>
      </x:c>
      <x:c r="N218" s="32" t="str">
        <x:v>No</x:v>
      </x:c>
      <x:c r="O218" s="32" t="n">
        <x:v>4</x:v>
      </x:c>
    </x:row>
    <x:row r="219">
      <x:c r="A219" s="30" t="str">
        <x:v>ORD-0218</x:v>
      </x:c>
      <x:c r="B219" s="31" t="n">
        <x:v>45701</x:v>
      </x:c>
      <x:c r="C219" s="30" t="str">
        <x:v>Feb</x:v>
      </x:c>
      <x:c r="D219" s="30" t="str">
        <x:v>West Midlands</x:v>
      </x:c>
      <x:c r="E219" s="30" t="str">
        <x:v>Electronics</x:v>
      </x:c>
      <x:c r="F219" s="30" t="str">
        <x:v>Store</x:v>
      </x:c>
      <x:c r="G219" s="32" t="n">
        <x:v>8</x:v>
      </x:c>
      <x:c r="H219" s="33" t="n">
        <x:v>72</x:v>
      </x:c>
      <x:c r="I219" s="33" t="n">
        <x:v>576</x:v>
      </x:c>
      <x:c r="J219" s="33" t="n">
        <x:v>449.28</x:v>
      </x:c>
      <x:c r="K219" s="33" t="n">
        <x:v>126.72</x:v>
      </x:c>
      <x:c r="L219" s="32" t="n">
        <x:v>6</x:v>
      </x:c>
      <x:c r="M219" s="32" t="str">
        <x:v>Late</x:v>
      </x:c>
      <x:c r="N219" s="32" t="str">
        <x:v>No</x:v>
      </x:c>
      <x:c r="O219" s="32" t="n">
        <x:v>4</x:v>
      </x:c>
    </x:row>
    <x:row r="220">
      <x:c r="A220" s="30" t="str">
        <x:v>ORD-0219</x:v>
      </x:c>
      <x:c r="B220" s="31" t="n">
        <x:v>45736</x:v>
      </x:c>
      <x:c r="C220" s="30" t="str">
        <x:v>Mar</x:v>
      </x:c>
      <x:c r="D220" s="30" t="str">
        <x:v>East Midlands</x:v>
      </x:c>
      <x:c r="E220" s="30" t="str">
        <x:v>Home &amp; Kitchen</x:v>
      </x:c>
      <x:c r="F220" s="30" t="str">
        <x:v>Marketplace</x:v>
      </x:c>
      <x:c r="G220" s="32" t="n">
        <x:v>7</x:v>
      </x:c>
      <x:c r="H220" s="33" t="n">
        <x:v>49</x:v>
      </x:c>
      <x:c r="I220" s="33" t="n">
        <x:v>343</x:v>
      </x:c>
      <x:c r="J220" s="33" t="n">
        <x:v>236.67</x:v>
      </x:c>
      <x:c r="K220" s="33" t="n">
        <x:v>106.33</x:v>
      </x:c>
      <x:c r="L220" s="32" t="n">
        <x:v>3</x:v>
      </x:c>
      <x:c r="M220" s="32" t="str">
        <x:v>On Time</x:v>
      </x:c>
      <x:c r="N220" s="32" t="str">
        <x:v>No</x:v>
      </x:c>
      <x:c r="O220" s="32" t="n">
        <x:v>4</x:v>
      </x:c>
    </x:row>
    <x:row r="221">
      <x:c r="A221" s="30" t="str">
        <x:v>ORD-0220</x:v>
      </x:c>
      <x:c r="B221" s="31" t="n">
        <x:v>45774</x:v>
      </x:c>
      <x:c r="C221" s="30" t="str">
        <x:v>Apr</x:v>
      </x:c>
      <x:c r="D221" s="30" t="str">
        <x:v>North West</x:v>
      </x:c>
      <x:c r="E221" s="30" t="str">
        <x:v>Office Supplies</x:v>
      </x:c>
      <x:c r="F221" s="30" t="str">
        <x:v>Online</x:v>
      </x:c>
      <x:c r="G221" s="32" t="n">
        <x:v>6</x:v>
      </x:c>
      <x:c r="H221" s="33" t="n">
        <x:v>40</x:v>
      </x:c>
      <x:c r="I221" s="33" t="n">
        <x:v>240</x:v>
      </x:c>
      <x:c r="J221" s="33" t="n">
        <x:v>148.8</x:v>
      </x:c>
      <x:c r="K221" s="33" t="n">
        <x:v>91.2</x:v>
      </x:c>
      <x:c r="L221" s="32" t="n">
        <x:v>8</x:v>
      </x:c>
      <x:c r="M221" s="32" t="str">
        <x:v>Late</x:v>
      </x:c>
      <x:c r="N221" s="32" t="str">
        <x:v>No</x:v>
      </x:c>
      <x:c r="O221" s="32" t="n">
        <x:v>4</x:v>
      </x:c>
    </x:row>
    <x:row r="222">
      <x:c r="A222" s="30" t="str">
        <x:v>ORD-0221</x:v>
      </x:c>
      <x:c r="B222" s="31" t="n">
        <x:v>45785</x:v>
      </x:c>
      <x:c r="C222" s="30" t="str">
        <x:v>May</x:v>
      </x:c>
      <x:c r="D222" s="30" t="str">
        <x:v>London</x:v>
      </x:c>
      <x:c r="E222" s="30" t="str">
        <x:v>Sports</x:v>
      </x:c>
      <x:c r="F222" s="30" t="str">
        <x:v>Online</x:v>
      </x:c>
      <x:c r="G222" s="32" t="n">
        <x:v>5</x:v>
      </x:c>
      <x:c r="H222" s="33" t="n">
        <x:v>46</x:v>
      </x:c>
      <x:c r="I222" s="33" t="n">
        <x:v>230</x:v>
      </x:c>
      <x:c r="J222" s="33" t="n">
        <x:v>163.3</x:v>
      </x:c>
      <x:c r="K222" s="33" t="n">
        <x:v>66.7</x:v>
      </x:c>
      <x:c r="L222" s="32" t="n">
        <x:v>5</x:v>
      </x:c>
      <x:c r="M222" s="32" t="str">
        <x:v>Late</x:v>
      </x:c>
      <x:c r="N222" s="32" t="str">
        <x:v>No</x:v>
      </x:c>
      <x:c r="O222" s="32" t="n">
        <x:v>3</x:v>
      </x:c>
    </x:row>
    <x:row r="223">
      <x:c r="A223" s="30" t="str">
        <x:v>ORD-0222</x:v>
      </x:c>
      <x:c r="B223" s="31" t="n">
        <x:v>45823</x:v>
      </x:c>
      <x:c r="C223" s="30" t="str">
        <x:v>Jun</x:v>
      </x:c>
      <x:c r="D223" s="30" t="str">
        <x:v>West Midlands</x:v>
      </x:c>
      <x:c r="E223" s="30" t="str">
        <x:v>Electronics</x:v>
      </x:c>
      <x:c r="F223" s="30" t="str">
        <x:v>Store</x:v>
      </x:c>
      <x:c r="G223" s="32" t="n">
        <x:v>4</x:v>
      </x:c>
      <x:c r="H223" s="33" t="n">
        <x:v>85</x:v>
      </x:c>
      <x:c r="I223" s="33" t="n">
        <x:v>340</x:v>
      </x:c>
      <x:c r="J223" s="33" t="n">
        <x:v>265.2</x:v>
      </x:c>
      <x:c r="K223" s="33" t="n">
        <x:v>74.8</x:v>
      </x:c>
      <x:c r="L223" s="32" t="n">
        <x:v>2</x:v>
      </x:c>
      <x:c r="M223" s="32" t="str">
        <x:v>On Time</x:v>
      </x:c>
      <x:c r="N223" s="32" t="str">
        <x:v>No</x:v>
      </x:c>
      <x:c r="O223" s="32" t="n">
        <x:v>5</x:v>
      </x:c>
    </x:row>
    <x:row r="224">
      <x:c r="A224" s="30" t="str">
        <x:v>ORD-0223</x:v>
      </x:c>
      <x:c r="B224" s="31" t="n">
        <x:v>45860</x:v>
      </x:c>
      <x:c r="C224" s="30" t="str">
        <x:v>Jul</x:v>
      </x:c>
      <x:c r="D224" s="30" t="str">
        <x:v>East Midlands</x:v>
      </x:c>
      <x:c r="E224" s="30" t="str">
        <x:v>Home &amp; Kitchen</x:v>
      </x:c>
      <x:c r="F224" s="30" t="str">
        <x:v>Marketplace</x:v>
      </x:c>
      <x:c r="G224" s="32" t="n">
        <x:v>3</x:v>
      </x:c>
      <x:c r="H224" s="33" t="n">
        <x:v>62</x:v>
      </x:c>
      <x:c r="I224" s="33" t="n">
        <x:v>186</x:v>
      </x:c>
      <x:c r="J224" s="33" t="n">
        <x:v>128.34</x:v>
      </x:c>
      <x:c r="K224" s="33" t="n">
        <x:v>57.66</x:v>
      </x:c>
      <x:c r="L224" s="32" t="n">
        <x:v>7</x:v>
      </x:c>
      <x:c r="M224" s="32" t="str">
        <x:v>Late</x:v>
      </x:c>
      <x:c r="N224" s="32" t="str">
        <x:v>No</x:v>
      </x:c>
      <x:c r="O224" s="32" t="n">
        <x:v>3</x:v>
      </x:c>
    </x:row>
    <x:row r="225">
      <x:c r="A225" s="30" t="str">
        <x:v>ORD-0224</x:v>
      </x:c>
      <x:c r="B225" s="31" t="n">
        <x:v>45872</x:v>
      </x:c>
      <x:c r="C225" s="30" t="str">
        <x:v>Aug</x:v>
      </x:c>
      <x:c r="D225" s="30" t="str">
        <x:v>North West</x:v>
      </x:c>
      <x:c r="E225" s="30" t="str">
        <x:v>Office Supplies</x:v>
      </x:c>
      <x:c r="F225" s="30" t="str">
        <x:v>Online</x:v>
      </x:c>
      <x:c r="G225" s="32" t="n">
        <x:v>2</x:v>
      </x:c>
      <x:c r="H225" s="33" t="n">
        <x:v>22</x:v>
      </x:c>
      <x:c r="I225" s="33" t="n">
        <x:v>44</x:v>
      </x:c>
      <x:c r="J225" s="33" t="n">
        <x:v>27.28</x:v>
      </x:c>
      <x:c r="K225" s="33" t="n">
        <x:v>16.72</x:v>
      </x:c>
      <x:c r="L225" s="32" t="n">
        <x:v>4</x:v>
      </x:c>
      <x:c r="M225" s="32" t="str">
        <x:v>On Time</x:v>
      </x:c>
      <x:c r="N225" s="32" t="str">
        <x:v>No</x:v>
      </x:c>
      <x:c r="O225" s="32" t="n">
        <x:v>5</x:v>
      </x:c>
    </x:row>
    <x:row r="226">
      <x:c r="A226" s="30" t="str">
        <x:v>ORD-0225</x:v>
      </x:c>
      <x:c r="B226" s="31" t="n">
        <x:v>45910</x:v>
      </x:c>
      <x:c r="C226" s="30" t="str">
        <x:v>Sep</x:v>
      </x:c>
      <x:c r="D226" s="30" t="str">
        <x:v>London</x:v>
      </x:c>
      <x:c r="E226" s="30" t="str">
        <x:v>Electronics</x:v>
      </x:c>
      <x:c r="F226" s="30" t="str">
        <x:v>Store</x:v>
      </x:c>
      <x:c r="G226" s="32" t="n">
        <x:v>1</x:v>
      </x:c>
      <x:c r="H226" s="33" t="n">
        <x:v>87</x:v>
      </x:c>
      <x:c r="I226" s="33" t="n">
        <x:v>87</x:v>
      </x:c>
      <x:c r="J226" s="33" t="n">
        <x:v>67.86</x:v>
      </x:c>
      <x:c r="K226" s="33" t="n">
        <x:v>19.14</x:v>
      </x:c>
      <x:c r="L226" s="32" t="n">
        <x:v>1</x:v>
      </x:c>
      <x:c r="M226" s="32" t="str">
        <x:v>On Time</x:v>
      </x:c>
      <x:c r="N226" s="32" t="str">
        <x:v>No</x:v>
      </x:c>
      <x:c r="O226" s="32" t="n">
        <x:v>4</x:v>
      </x:c>
    </x:row>
    <x:row r="227">
      <x:c r="A227" s="30" t="str">
        <x:v>ORD-0226</x:v>
      </x:c>
      <x:c r="B227" s="31" t="n">
        <x:v>45947</x:v>
      </x:c>
      <x:c r="C227" s="30" t="str">
        <x:v>Oct</x:v>
      </x:c>
      <x:c r="D227" s="30" t="str">
        <x:v>West Midlands</x:v>
      </x:c>
      <x:c r="E227" s="30" t="str">
        <x:v>Home &amp; Kitchen</x:v>
      </x:c>
      <x:c r="F227" s="30" t="str">
        <x:v>Marketplace</x:v>
      </x:c>
      <x:c r="G227" s="32" t="n">
        <x:v>8</x:v>
      </x:c>
      <x:c r="H227" s="33" t="n">
        <x:v>64</x:v>
      </x:c>
      <x:c r="I227" s="33" t="n">
        <x:v>512</x:v>
      </x:c>
      <x:c r="J227" s="33" t="n">
        <x:v>353.28</x:v>
      </x:c>
      <x:c r="K227" s="33" t="n">
        <x:v>158.72</x:v>
      </x:c>
      <x:c r="L227" s="32" t="n">
        <x:v>7</x:v>
      </x:c>
      <x:c r="M227" s="32" t="str">
        <x:v>Late</x:v>
      </x:c>
      <x:c r="N227" s="32" t="str">
        <x:v>No</x:v>
      </x:c>
      <x:c r="O227" s="32" t="n">
        <x:v>4</x:v>
      </x:c>
    </x:row>
    <x:row r="228">
      <x:c r="A228" s="30" t="str">
        <x:v>ORD-0227</x:v>
      </x:c>
      <x:c r="B228" s="31" t="n">
        <x:v>45985</x:v>
      </x:c>
      <x:c r="C228" s="30" t="str">
        <x:v>Nov</x:v>
      </x:c>
      <x:c r="D228" s="30" t="str">
        <x:v>East Midlands</x:v>
      </x:c>
      <x:c r="E228" s="30" t="str">
        <x:v>Office Supplies</x:v>
      </x:c>
      <x:c r="F228" s="30" t="str">
        <x:v>Online</x:v>
      </x:c>
      <x:c r="G228" s="32" t="n">
        <x:v>7</x:v>
      </x:c>
      <x:c r="H228" s="33" t="n">
        <x:v>24</x:v>
      </x:c>
      <x:c r="I228" s="33" t="n">
        <x:v>168</x:v>
      </x:c>
      <x:c r="J228" s="33" t="n">
        <x:v>104.16</x:v>
      </x:c>
      <x:c r="K228" s="33" t="n">
        <x:v>63.84</x:v>
      </x:c>
      <x:c r="L228" s="32" t="n">
        <x:v>4</x:v>
      </x:c>
      <x:c r="M228" s="32" t="str">
        <x:v>On Time</x:v>
      </x:c>
      <x:c r="N228" s="32" t="str">
        <x:v>No</x:v>
      </x:c>
      <x:c r="O228" s="32" t="n">
        <x:v>4</x:v>
      </x:c>
    </x:row>
    <x:row r="229">
      <x:c r="A229" s="30" t="str">
        <x:v>ORD-0228</x:v>
      </x:c>
      <x:c r="B229" s="31" t="n">
        <x:v>45996</x:v>
      </x:c>
      <x:c r="C229" s="30" t="str">
        <x:v>Dec</x:v>
      </x:c>
      <x:c r="D229" s="30" t="str">
        <x:v>North West</x:v>
      </x:c>
      <x:c r="E229" s="30" t="str">
        <x:v>Sports</x:v>
      </x:c>
      <x:c r="F229" s="30" t="str">
        <x:v>Store</x:v>
      </x:c>
      <x:c r="G229" s="32" t="n">
        <x:v>6</x:v>
      </x:c>
      <x:c r="H229" s="33" t="n">
        <x:v>61</x:v>
      </x:c>
      <x:c r="I229" s="33" t="n">
        <x:v>366</x:v>
      </x:c>
      <x:c r="J229" s="33" t="n">
        <x:v>259.86</x:v>
      </x:c>
      <x:c r="K229" s="33" t="n">
        <x:v>106.14</x:v>
      </x:c>
      <x:c r="L229" s="32" t="n">
        <x:v>1</x:v>
      </x:c>
      <x:c r="M229" s="32" t="str">
        <x:v>On Time</x:v>
      </x:c>
      <x:c r="N229" s="32" t="str">
        <x:v>No</x:v>
      </x:c>
      <x:c r="O229" s="32" t="n">
        <x:v>5</x:v>
      </x:c>
    </x:row>
    <x:row r="230">
      <x:c r="A230" s="30" t="str">
        <x:v>ORD-0229</x:v>
      </x:c>
      <x:c r="B230" s="31" t="n">
        <x:v>45669</x:v>
      </x:c>
      <x:c r="C230" s="30" t="str">
        <x:v>Jan</x:v>
      </x:c>
      <x:c r="D230" s="30" t="str">
        <x:v>North West</x:v>
      </x:c>
      <x:c r="E230" s="30" t="str">
        <x:v>Electronics</x:v>
      </x:c>
      <x:c r="F230" s="30" t="str">
        <x:v>Marketplace</x:v>
      </x:c>
      <x:c r="G230" s="32" t="n">
        <x:v>5</x:v>
      </x:c>
      <x:c r="H230" s="33" t="n">
        <x:v>100</x:v>
      </x:c>
      <x:c r="I230" s="33" t="n">
        <x:v>500</x:v>
      </x:c>
      <x:c r="J230" s="33" t="n">
        <x:v>390</x:v>
      </x:c>
      <x:c r="K230" s="33" t="n">
        <x:v>110</x:v>
      </x:c>
      <x:c r="L230" s="32" t="n">
        <x:v>6</x:v>
      </x:c>
      <x:c r="M230" s="32" t="str">
        <x:v>Late</x:v>
      </x:c>
      <x:c r="N230" s="32" t="str">
        <x:v>No</x:v>
      </x:c>
      <x:c r="O230" s="32" t="n">
        <x:v>3</x:v>
      </x:c>
    </x:row>
    <x:row r="231">
      <x:c r="A231" s="30" t="str">
        <x:v>ORD-0230</x:v>
      </x:c>
      <x:c r="B231" s="31" t="n">
        <x:v>45707</x:v>
      </x:c>
      <x:c r="C231" s="30" t="str">
        <x:v>Feb</x:v>
      </x:c>
      <x:c r="D231" s="30" t="str">
        <x:v>London</x:v>
      </x:c>
      <x:c r="E231" s="30" t="str">
        <x:v>Home &amp; Kitchen</x:v>
      </x:c>
      <x:c r="F231" s="30" t="str">
        <x:v>Online</x:v>
      </x:c>
      <x:c r="G231" s="32" t="n">
        <x:v>4</x:v>
      </x:c>
      <x:c r="H231" s="33" t="n">
        <x:v>46</x:v>
      </x:c>
      <x:c r="I231" s="33" t="n">
        <x:v>184</x:v>
      </x:c>
      <x:c r="J231" s="33" t="n">
        <x:v>126.96</x:v>
      </x:c>
      <x:c r="K231" s="33" t="n">
        <x:v>57.04</x:v>
      </x:c>
      <x:c r="L231" s="32" t="n">
        <x:v>3</x:v>
      </x:c>
      <x:c r="M231" s="32" t="str">
        <x:v>On Time</x:v>
      </x:c>
      <x:c r="N231" s="32" t="str">
        <x:v>No</x:v>
      </x:c>
      <x:c r="O231" s="32" t="n">
        <x:v>5</x:v>
      </x:c>
    </x:row>
    <x:row r="232">
      <x:c r="A232" s="30" t="str">
        <x:v>ORD-0231</x:v>
      </x:c>
      <x:c r="B232" s="31" t="n">
        <x:v>45742</x:v>
      </x:c>
      <x:c r="C232" s="30" t="str">
        <x:v>Mar</x:v>
      </x:c>
      <x:c r="D232" s="30" t="str">
        <x:v>West Midlands</x:v>
      </x:c>
      <x:c r="E232" s="30" t="str">
        <x:v>Office Supplies</x:v>
      </x:c>
      <x:c r="F232" s="30" t="str">
        <x:v>Online</x:v>
      </x:c>
      <x:c r="G232" s="32" t="n">
        <x:v>3</x:v>
      </x:c>
      <x:c r="H232" s="33" t="n">
        <x:v>37</x:v>
      </x:c>
      <x:c r="I232" s="33" t="n">
        <x:v>111</x:v>
      </x:c>
      <x:c r="J232" s="33" t="n">
        <x:v>68.82</x:v>
      </x:c>
      <x:c r="K232" s="33" t="n">
        <x:v>42.18</x:v>
      </x:c>
      <x:c r="L232" s="32" t="n">
        <x:v>8</x:v>
      </x:c>
      <x:c r="M232" s="32" t="str">
        <x:v>Late</x:v>
      </x:c>
      <x:c r="N232" s="32" t="str">
        <x:v>No</x:v>
      </x:c>
      <x:c r="O232" s="32" t="n">
        <x:v>3</x:v>
      </x:c>
    </x:row>
    <x:row r="233">
      <x:c r="A233" s="30" t="str">
        <x:v>ORD-0232</x:v>
      </x:c>
      <x:c r="B233" s="31" t="n">
        <x:v>45754</x:v>
      </x:c>
      <x:c r="C233" s="30" t="str">
        <x:v>Apr</x:v>
      </x:c>
      <x:c r="D233" s="30" t="str">
        <x:v>East Midlands</x:v>
      </x:c>
      <x:c r="E233" s="30" t="str">
        <x:v>Sports</x:v>
      </x:c>
      <x:c r="F233" s="30" t="str">
        <x:v>Store</x:v>
      </x:c>
      <x:c r="G233" s="32" t="n">
        <x:v>2</x:v>
      </x:c>
      <x:c r="H233" s="33" t="n">
        <x:v>74</x:v>
      </x:c>
      <x:c r="I233" s="33" t="n">
        <x:v>148</x:v>
      </x:c>
      <x:c r="J233" s="33" t="n">
        <x:v>105.08</x:v>
      </x:c>
      <x:c r="K233" s="33" t="n">
        <x:v>42.92</x:v>
      </x:c>
      <x:c r="L233" s="32" t="n">
        <x:v>5</x:v>
      </x:c>
      <x:c r="M233" s="32" t="str">
        <x:v>Late</x:v>
      </x:c>
      <x:c r="N233" s="32" t="str">
        <x:v>No</x:v>
      </x:c>
      <x:c r="O233" s="32" t="n">
        <x:v>4</x:v>
      </x:c>
    </x:row>
    <x:row r="234">
      <x:c r="A234" s="30" t="str">
        <x:v>ORD-0233</x:v>
      </x:c>
      <x:c r="B234" s="31" t="n">
        <x:v>45791</x:v>
      </x:c>
      <x:c r="C234" s="30" t="str">
        <x:v>May</x:v>
      </x:c>
      <x:c r="D234" s="30" t="str">
        <x:v>North West</x:v>
      </x:c>
      <x:c r="E234" s="30" t="str">
        <x:v>Home &amp; Kitchen</x:v>
      </x:c>
      <x:c r="F234" s="30" t="str">
        <x:v>Marketplace</x:v>
      </x:c>
      <x:c r="G234" s="32" t="n">
        <x:v>1</x:v>
      </x:c>
      <x:c r="H234" s="33" t="n">
        <x:v>48</x:v>
      </x:c>
      <x:c r="I234" s="33" t="n">
        <x:v>48</x:v>
      </x:c>
      <x:c r="J234" s="33" t="n">
        <x:v>33.12</x:v>
      </x:c>
      <x:c r="K234" s="33" t="n">
        <x:v>14.88</x:v>
      </x:c>
      <x:c r="L234" s="32" t="n">
        <x:v>2</x:v>
      </x:c>
      <x:c r="M234" s="32" t="str">
        <x:v>On Time</x:v>
      </x:c>
      <x:c r="N234" s="32" t="str">
        <x:v>Yes</x:v>
      </x:c>
      <x:c r="O234" s="32" t="n">
        <x:v>2</x:v>
      </x:c>
    </x:row>
    <x:row r="235">
      <x:c r="A235" s="30" t="str">
        <x:v>ORD-0234</x:v>
      </x:c>
      <x:c r="B235" s="31" t="n">
        <x:v>45829</x:v>
      </x:c>
      <x:c r="C235" s="30" t="str">
        <x:v>Jun</x:v>
      </x:c>
      <x:c r="D235" s="30" t="str">
        <x:v>London</x:v>
      </x:c>
      <x:c r="E235" s="30" t="str">
        <x:v>Office Supplies</x:v>
      </x:c>
      <x:c r="F235" s="30" t="str">
        <x:v>Online</x:v>
      </x:c>
      <x:c r="G235" s="32" t="n">
        <x:v>8</x:v>
      </x:c>
      <x:c r="H235" s="33" t="n">
        <x:v>39</x:v>
      </x:c>
      <x:c r="I235" s="33" t="n">
        <x:v>312</x:v>
      </x:c>
      <x:c r="J235" s="33" t="n">
        <x:v>193.44</x:v>
      </x:c>
      <x:c r="K235" s="33" t="n">
        <x:v>118.56</x:v>
      </x:c>
      <x:c r="L235" s="32" t="n">
        <x:v>7</x:v>
      </x:c>
      <x:c r="M235" s="32" t="str">
        <x:v>Late</x:v>
      </x:c>
      <x:c r="N235" s="32" t="str">
        <x:v>No</x:v>
      </x:c>
      <x:c r="O235" s="32" t="n">
        <x:v>4</x:v>
      </x:c>
    </x:row>
    <x:row r="236">
      <x:c r="A236" s="30" t="str">
        <x:v>ORD-0235</x:v>
      </x:c>
      <x:c r="B236" s="31" t="n">
        <x:v>45840</x:v>
      </x:c>
      <x:c r="C236" s="30" t="str">
        <x:v>Jul</x:v>
      </x:c>
      <x:c r="D236" s="30" t="str">
        <x:v>West Midlands</x:v>
      </x:c>
      <x:c r="E236" s="30" t="str">
        <x:v>Sports</x:v>
      </x:c>
      <x:c r="F236" s="30" t="str">
        <x:v>Store</x:v>
      </x:c>
      <x:c r="G236" s="32" t="n">
        <x:v>7</x:v>
      </x:c>
      <x:c r="H236" s="33" t="n">
        <x:v>45</x:v>
      </x:c>
      <x:c r="I236" s="33" t="n">
        <x:v>315</x:v>
      </x:c>
      <x:c r="J236" s="33" t="n">
        <x:v>223.65</x:v>
      </x:c>
      <x:c r="K236" s="33" t="n">
        <x:v>91.35</x:v>
      </x:c>
      <x:c r="L236" s="32" t="n">
        <x:v>5</x:v>
      </x:c>
      <x:c r="M236" s="32" t="str">
        <x:v>Late</x:v>
      </x:c>
      <x:c r="N236" s="32" t="str">
        <x:v>No</x:v>
      </x:c>
      <x:c r="O236" s="32" t="n">
        <x:v>3</x:v>
      </x:c>
    </x:row>
    <x:row r="237">
      <x:c r="A237" s="30" t="str">
        <x:v>ORD-0236</x:v>
      </x:c>
      <x:c r="B237" s="31" t="n">
        <x:v>45878</x:v>
      </x:c>
      <x:c r="C237" s="30" t="str">
        <x:v>Aug</x:v>
      </x:c>
      <x:c r="D237" s="30" t="str">
        <x:v>East Midlands</x:v>
      </x:c>
      <x:c r="E237" s="30" t="str">
        <x:v>Electronics</x:v>
      </x:c>
      <x:c r="F237" s="30" t="str">
        <x:v>Marketplace</x:v>
      </x:c>
      <x:c r="G237" s="32" t="n">
        <x:v>6</x:v>
      </x:c>
      <x:c r="H237" s="33" t="n">
        <x:v>84</x:v>
      </x:c>
      <x:c r="I237" s="33" t="n">
        <x:v>504</x:v>
      </x:c>
      <x:c r="J237" s="33" t="n">
        <x:v>393.12</x:v>
      </x:c>
      <x:c r="K237" s="33" t="n">
        <x:v>110.88</x:v>
      </x:c>
      <x:c r="L237" s="32" t="n">
        <x:v>2</x:v>
      </x:c>
      <x:c r="M237" s="32" t="str">
        <x:v>On Time</x:v>
      </x:c>
      <x:c r="N237" s="32" t="str">
        <x:v>No</x:v>
      </x:c>
      <x:c r="O237" s="32" t="n">
        <x:v>5</x:v>
      </x:c>
    </x:row>
    <x:row r="238">
      <x:c r="A238" s="30" t="str">
        <x:v>ORD-0237</x:v>
      </x:c>
      <x:c r="B238" s="31" t="n">
        <x:v>45916</x:v>
      </x:c>
      <x:c r="C238" s="30" t="str">
        <x:v>Sep</x:v>
      </x:c>
      <x:c r="D238" s="30" t="str">
        <x:v>North West</x:v>
      </x:c>
      <x:c r="E238" s="30" t="str">
        <x:v>Home &amp; Kitchen</x:v>
      </x:c>
      <x:c r="F238" s="30" t="str">
        <x:v>Online</x:v>
      </x:c>
      <x:c r="G238" s="32" t="n">
        <x:v>5</x:v>
      </x:c>
      <x:c r="H238" s="33" t="n">
        <x:v>61</x:v>
      </x:c>
      <x:c r="I238" s="33" t="n">
        <x:v>305</x:v>
      </x:c>
      <x:c r="J238" s="33" t="n">
        <x:v>210.45</x:v>
      </x:c>
      <x:c r="K238" s="33" t="n">
        <x:v>94.55</x:v>
      </x:c>
      <x:c r="L238" s="32" t="n">
        <x:v>7</x:v>
      </x:c>
      <x:c r="M238" s="32" t="str">
        <x:v>Late</x:v>
      </x:c>
      <x:c r="N238" s="32" t="str">
        <x:v>No</x:v>
      </x:c>
      <x:c r="O238" s="32" t="n">
        <x:v>3</x:v>
      </x:c>
    </x:row>
    <x:row r="239">
      <x:c r="A239" s="30" t="str">
        <x:v>ORD-0238</x:v>
      </x:c>
      <x:c r="B239" s="31" t="n">
        <x:v>45953</x:v>
      </x:c>
      <x:c r="C239" s="30" t="str">
        <x:v>Oct</x:v>
      </x:c>
      <x:c r="D239" s="30" t="str">
        <x:v>London</x:v>
      </x:c>
      <x:c r="E239" s="30" t="str">
        <x:v>Office Supplies</x:v>
      </x:c>
      <x:c r="F239" s="30" t="str">
        <x:v>Store</x:v>
      </x:c>
      <x:c r="G239" s="32" t="n">
        <x:v>4</x:v>
      </x:c>
      <x:c r="H239" s="33" t="n">
        <x:v>21</x:v>
      </x:c>
      <x:c r="I239" s="33" t="n">
        <x:v>84</x:v>
      </x:c>
      <x:c r="J239" s="33" t="n">
        <x:v>52.08</x:v>
      </x:c>
      <x:c r="K239" s="33" t="n">
        <x:v>31.92</x:v>
      </x:c>
      <x:c r="L239" s="32" t="n">
        <x:v>4</x:v>
      </x:c>
      <x:c r="M239" s="32" t="str">
        <x:v>On Time</x:v>
      </x:c>
      <x:c r="N239" s="32" t="str">
        <x:v>No</x:v>
      </x:c>
      <x:c r="O239" s="32" t="n">
        <x:v>5</x:v>
      </x:c>
    </x:row>
    <x:row r="240">
      <x:c r="A240" s="30" t="str">
        <x:v>ORD-0239</x:v>
      </x:c>
      <x:c r="B240" s="31" t="n">
        <x:v>45965</x:v>
      </x:c>
      <x:c r="C240" s="30" t="str">
        <x:v>Nov</x:v>
      </x:c>
      <x:c r="D240" s="30" t="str">
        <x:v>West Midlands</x:v>
      </x:c>
      <x:c r="E240" s="30" t="str">
        <x:v>Sports</x:v>
      </x:c>
      <x:c r="F240" s="30" t="str">
        <x:v>Marketplace</x:v>
      </x:c>
      <x:c r="G240" s="32" t="n">
        <x:v>3</x:v>
      </x:c>
      <x:c r="H240" s="33" t="n">
        <x:v>58</x:v>
      </x:c>
      <x:c r="I240" s="33" t="n">
        <x:v>174</x:v>
      </x:c>
      <x:c r="J240" s="33" t="n">
        <x:v>123.54</x:v>
      </x:c>
      <x:c r="K240" s="33" t="n">
        <x:v>50.46</x:v>
      </x:c>
      <x:c r="L240" s="32" t="n">
        <x:v>1</x:v>
      </x:c>
      <x:c r="M240" s="32" t="str">
        <x:v>On Time</x:v>
      </x:c>
      <x:c r="N240" s="32" t="str">
        <x:v>No</x:v>
      </x:c>
      <x:c r="O240" s="32" t="n">
        <x:v>4</x:v>
      </x:c>
    </x:row>
    <x:row r="241">
      <x:c r="A241" s="30" t="str">
        <x:v>ORD-0240</x:v>
      </x:c>
      <x:c r="B241" s="31" t="n">
        <x:v>46002</x:v>
      </x:c>
      <x:c r="C241" s="30" t="str">
        <x:v>Dec</x:v>
      </x:c>
      <x:c r="D241" s="30" t="str">
        <x:v>East Midlands</x:v>
      </x:c>
      <x:c r="E241" s="30" t="str">
        <x:v>Electronics</x:v>
      </x:c>
      <x:c r="F241" s="30" t="str">
        <x:v>Online</x:v>
      </x:c>
      <x:c r="G241" s="32" t="n">
        <x:v>2</x:v>
      </x:c>
      <x:c r="H241" s="33" t="n">
        <x:v>97</x:v>
      </x:c>
      <x:c r="I241" s="33" t="n">
        <x:v>194</x:v>
      </x:c>
      <x:c r="J241" s="33" t="n">
        <x:v>151.32</x:v>
      </x:c>
      <x:c r="K241" s="33" t="n">
        <x:v>42.68</x:v>
      </x:c>
      <x:c r="L241" s="32" t="n">
        <x:v>6</x:v>
      </x:c>
      <x:c r="M241" s="32" t="str">
        <x:v>Late</x:v>
      </x:c>
      <x:c r="N241" s="32" t="str">
        <x:v>No</x:v>
      </x:c>
      <x:c r="O241" s="32" t="n">
        <x:v>4</x:v>
      </x:c>
    </x:row>
  </x:sheetData>
  <x:pageMargins left="0.7" right="0.7" top="0.75" bottom="0.75" header="0.3" footer="0.3"/>
  <x:tableParts count="1">
    <x:tablePart xmlns:r="http://schemas.openxmlformats.org/officeDocument/2006/relationships" r:id="R5e0bcafaacf5475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22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</x:cols>
  <x:sheetData>
    <x:row r="1" ht="34" customHeight="1">
      <x:c r="A1" s="46" t="str">
        <x:v>Formula-Driven Analysis</x:v>
      </x:c>
      <x:c r="B1" s="46"/>
      <x:c r="C1" s="46"/>
      <x:c r="D1" s="46"/>
      <x:c r="E1" s="46"/>
      <x:c r="F1" s="46"/>
      <x:c r="G1" s="46"/>
      <x:c r="H1" s="46"/>
      <x:c r="I1" s="46"/>
      <x:c r="J1" s="46"/>
    </x:row>
    <x:row r="2">
      <x:c r="A2" s="30"/>
      <x:c r="B2" s="30"/>
      <x:c r="C2" s="30"/>
      <x:c r="D2" s="30"/>
      <x:c r="E2" s="30"/>
      <x:c r="F2" s="30"/>
      <x:c r="G2" s="30"/>
      <x:c r="H2" s="30"/>
      <x:c r="I2" s="30"/>
      <x:c r="J2" s="30"/>
    </x:row>
    <x:row r="3">
      <x:c r="A3" s="41" t="str">
        <x:v>KPI</x:v>
      </x:c>
      <x:c r="B3" s="41" t="str">
        <x:v>Value</x:v>
      </x:c>
      <x:c r="C3" s="30"/>
      <x:c r="D3" s="30"/>
      <x:c r="E3" s="30"/>
      <x:c r="F3" s="30"/>
      <x:c r="G3" s="30"/>
      <x:c r="H3" s="30"/>
      <x:c r="I3" s="30"/>
      <x:c r="J3" s="30"/>
    </x:row>
    <x:row r="4">
      <x:c r="A4" s="42" t="str">
        <x:v>Total Revenue</x:v>
      </x:c>
      <x:c r="B4" s="33" t="n">
        <x:f>ROUND(SUM('Order Data'!$I$2:$I$241),0)</x:f>
        <x:v>62327</x:v>
      </x:c>
      <x:c r="C4" s="30"/>
      <x:c r="D4" s="30"/>
      <x:c r="E4" s="30"/>
      <x:c r="F4" s="30"/>
      <x:c r="G4" s="30"/>
      <x:c r="H4" s="30"/>
      <x:c r="I4" s="30"/>
      <x:c r="J4" s="30"/>
    </x:row>
    <x:row r="5">
      <x:c r="A5" s="42" t="str">
        <x:v>Total Profit</x:v>
      </x:c>
      <x:c r="B5" s="33" t="n">
        <x:f>ROUND(SUM('Order Data'!$K$2:$K$241),2)</x:f>
        <x:v>17555.77</x:v>
      </x:c>
      <x:c r="C5" s="30"/>
      <x:c r="D5" s="30"/>
      <x:c r="E5" s="30"/>
      <x:c r="F5" s="30"/>
      <x:c r="G5" s="30"/>
      <x:c r="H5" s="30"/>
      <x:c r="I5" s="30"/>
      <x:c r="J5" s="30"/>
    </x:row>
    <x:row r="6">
      <x:c r="A6" s="42" t="str">
        <x:v>Order Count</x:v>
      </x:c>
      <x:c r="B6" s="43" t="n">
        <x:f>COUNTA('Order Data'!$A$2:$A$241)</x:f>
        <x:v>240</x:v>
      </x:c>
      <x:c r="C6" s="30"/>
      <x:c r="D6" s="30"/>
      <x:c r="E6" s="30"/>
      <x:c r="F6" s="30"/>
      <x:c r="G6" s="30"/>
      <x:c r="H6" s="30"/>
      <x:c r="I6" s="30"/>
      <x:c r="J6" s="30"/>
    </x:row>
    <x:row r="7">
      <x:c r="A7" s="42" t="str">
        <x:v>Average Order Value</x:v>
      </x:c>
      <x:c r="B7" s="33" t="n">
        <x:f>ROUND(B4/B6,2)</x:f>
        <x:v>259.7</x:v>
      </x:c>
      <x:c r="C7" s="30"/>
      <x:c r="D7" s="30"/>
      <x:c r="E7" s="30"/>
      <x:c r="F7" s="30"/>
      <x:c r="G7" s="30"/>
      <x:c r="H7" s="30"/>
      <x:c r="I7" s="30"/>
      <x:c r="J7" s="30"/>
    </x:row>
    <x:row r="8">
      <x:c r="A8" s="42" t="str">
        <x:v>On-Time Delivery Rate</x:v>
      </x:c>
      <x:c r="B8" s="44" t="n">
        <x:f>COUNTIF('Order Data'!$M$2:$M$241,"On Time")/B6</x:f>
        <x:v>0.5</x:v>
      </x:c>
      <x:c r="C8" s="30"/>
      <x:c r="D8" s="30"/>
      <x:c r="E8" s="30"/>
      <x:c r="F8" s="30"/>
      <x:c r="G8" s="30"/>
      <x:c r="H8" s="30"/>
      <x:c r="I8" s="30"/>
      <x:c r="J8" s="30"/>
    </x:row>
    <x:row r="9">
      <x:c r="A9" s="30"/>
      <x:c r="B9" s="30"/>
      <x:c r="C9" s="30"/>
      <x:c r="D9" s="30"/>
      <x:c r="E9" s="30"/>
      <x:c r="F9" s="30"/>
      <x:c r="G9" s="30"/>
      <x:c r="H9" s="30"/>
      <x:c r="I9" s="30"/>
      <x:c r="J9" s="30"/>
    </x:row>
    <x:row r="10">
      <x:c r="A10" s="30"/>
      <x:c r="B10" s="30"/>
      <x:c r="C10" s="30"/>
      <x:c r="D10" s="30"/>
      <x:c r="E10" s="30"/>
      <x:c r="F10" s="30"/>
      <x:c r="G10" s="30"/>
      <x:c r="H10" s="30"/>
      <x:c r="I10" s="30"/>
      <x:c r="J10" s="30"/>
    </x:row>
    <x:row r="11">
      <x:c r="A11" s="41" t="str">
        <x:v>Region</x:v>
      </x:c>
      <x:c r="B11" s="41" t="str">
        <x:v>Revenue</x:v>
      </x:c>
      <x:c r="C11" s="41" t="str">
        <x:v>Profit</x:v>
      </x:c>
      <x:c r="D11" s="30"/>
      <x:c r="E11" s="41" t="str">
        <x:v>Category</x:v>
      </x:c>
      <x:c r="F11" s="41" t="str">
        <x:v>Revenue</x:v>
      </x:c>
      <x:c r="G11" s="41" t="str">
        <x:v>Profit</x:v>
      </x:c>
      <x:c r="H11" s="41" t="str">
        <x:v>Return Rate</x:v>
      </x:c>
      <x:c r="I11" s="30"/>
      <x:c r="J11" s="30"/>
    </x:row>
    <x:row r="12">
      <x:c r="A12" s="30" t="str">
        <x:v>East Midlands</x:v>
      </x:c>
      <x:c r="B12" s="45" t="n">
        <x:f>ROUND(SUMIF('Order Data'!$D$2:$D$241,A12,'Order Data'!$I$2:$I$241),0)</x:f>
        <x:v>13820</x:v>
      </x:c>
      <x:c r="C12" s="45" t="n">
        <x:f>ROUND(SUMIF('Order Data'!$D$2:$D$241,A12,'Order Data'!$K$2:$K$241),2)</x:f>
        <x:v>3854.67</x:v>
      </x:c>
      <x:c r="D12" s="30"/>
      <x:c r="E12" s="30" t="str">
        <x:v>Electronics</x:v>
      </x:c>
      <x:c r="F12" s="45" t="n">
        <x:f>ROUND(SUMIF('Order Data'!$E$2:$E$241,E12,'Order Data'!$I$2:$I$241),0)</x:f>
        <x:v>23155</x:v>
      </x:c>
      <x:c r="G12" s="45" t="n">
        <x:f>ROUND(SUMIF('Order Data'!$E$2:$E$241,E12,'Order Data'!$K$2:$K$241),2)</x:f>
        <x:v>5094.1</x:v>
      </x:c>
      <x:c r="H12" s="44" t="n">
        <x:f>COUNTIFS('Order Data'!$E$2:$E$241,E12,'Order Data'!$N$2:$N$241,"Yes")/COUNTIF('Order Data'!$E$2:$E$241,E12)</x:f>
        <x:v>0.06666666666666667</x:v>
      </x:c>
      <x:c r="I12" s="30"/>
      <x:c r="J12" s="30"/>
    </x:row>
    <x:row r="13">
      <x:c r="A13" s="30" t="str">
        <x:v>West Midlands</x:v>
      </x:c>
      <x:c r="B13" s="45" t="n">
        <x:f>ROUND(SUMIF('Order Data'!$D$2:$D$241,A13,'Order Data'!$I$2:$I$241),0)</x:f>
        <x:v>17139</x:v>
      </x:c>
      <x:c r="C13" s="45" t="n">
        <x:f>ROUND(SUMIF('Order Data'!$D$2:$D$241,A13,'Order Data'!$K$2:$K$241),2)</x:f>
        <x:v>4801.66</x:v>
      </x:c>
      <x:c r="D13" s="30"/>
      <x:c r="E13" s="30" t="str">
        <x:v>Home &amp; Kitchen</x:v>
      </x:c>
      <x:c r="F13" s="45" t="n">
        <x:f>ROUND(SUMIF('Order Data'!$E$2:$E$241,E13,'Order Data'!$I$2:$I$241),0)</x:f>
        <x:v>14306</x:v>
      </x:c>
      <x:c r="G13" s="45" t="n">
        <x:f>ROUND(SUMIF('Order Data'!$E$2:$E$241,E13,'Order Data'!$K$2:$K$241),2)</x:f>
        <x:v>4434.86</x:v>
      </x:c>
      <x:c r="H13" s="44" t="n">
        <x:f>COUNTIFS('Order Data'!$E$2:$E$241,E13,'Order Data'!$N$2:$N$241,"Yes")/COUNTIF('Order Data'!$E$2:$E$241,E13)</x:f>
        <x:v>0.08333333333333333</x:v>
      </x:c>
      <x:c r="I13" s="30"/>
      <x:c r="J13" s="30"/>
    </x:row>
    <x:row r="14">
      <x:c r="A14" s="30" t="str">
        <x:v>London</x:v>
      </x:c>
      <x:c r="B14" s="45" t="n">
        <x:f>ROUND(SUMIF('Order Data'!$D$2:$D$241,A14,'Order Data'!$I$2:$I$241),0)</x:f>
        <x:v>14264</x:v>
      </x:c>
      <x:c r="C14" s="45" t="n">
        <x:f>ROUND(SUMIF('Order Data'!$D$2:$D$241,A14,'Order Data'!$K$2:$K$241),2)</x:f>
        <x:v>4108.13</x:v>
      </x:c>
      <x:c r="D14" s="30"/>
      <x:c r="E14" s="30" t="str">
        <x:v>Office Supplies</x:v>
      </x:c>
      <x:c r="F14" s="45" t="n">
        <x:f>ROUND(SUMIF('Order Data'!$E$2:$E$241,E14,'Order Data'!$I$2:$I$241),0)</x:f>
        <x:v>9063</x:v>
      </x:c>
      <x:c r="G14" s="45" t="n">
        <x:f>ROUND(SUMIF('Order Data'!$E$2:$E$241,E14,'Order Data'!$K$2:$K$241),2)</x:f>
        <x:v>3443.94</x:v>
      </x:c>
      <x:c r="H14" s="44" t="n">
        <x:f>COUNTIFS('Order Data'!$E$2:$E$241,E14,'Order Data'!$N$2:$N$241,"Yes")/COUNTIF('Order Data'!$E$2:$E$241,E14)</x:f>
        <x:v>0.03333333333333333</x:v>
      </x:c>
      <x:c r="I14" s="30"/>
      <x:c r="J14" s="30"/>
    </x:row>
    <x:row r="15">
      <x:c r="A15" s="30" t="str">
        <x:v>North West</x:v>
      </x:c>
      <x:c r="B15" s="45" t="n">
        <x:f>ROUND(SUMIF('Order Data'!$D$2:$D$241,A15,'Order Data'!$I$2:$I$241),0)</x:f>
        <x:v>17104</x:v>
      </x:c>
      <x:c r="C15" s="45" t="n">
        <x:f>ROUND(SUMIF('Order Data'!$D$2:$D$241,A15,'Order Data'!$K$2:$K$241),2)</x:f>
        <x:v>4791.31</x:v>
      </x:c>
      <x:c r="D15" s="30"/>
      <x:c r="E15" s="30" t="str">
        <x:v>Sports</x:v>
      </x:c>
      <x:c r="F15" s="45" t="n">
        <x:f>ROUND(SUMIF('Order Data'!$E$2:$E$241,E15,'Order Data'!$I$2:$I$241),0)</x:f>
        <x:v>15803</x:v>
      </x:c>
      <x:c r="G15" s="45" t="n">
        <x:f>ROUND(SUMIF('Order Data'!$E$2:$E$241,E15,'Order Data'!$K$2:$K$241),2)</x:f>
        <x:v>4582.87</x:v>
      </x:c>
      <x:c r="H15" s="44" t="n">
        <x:f>COUNTIFS('Order Data'!$E$2:$E$241,E15,'Order Data'!$N$2:$N$241,"Yes")/COUNTIF('Order Data'!$E$2:$E$241,E15)</x:f>
        <x:v>0.06666666666666667</x:v>
      </x:c>
      <x:c r="I15" s="30"/>
      <x:c r="J15" s="30"/>
    </x:row>
    <x:row r="16">
      <x:c r="A16" s="30"/>
      <x:c r="B16" s="30"/>
      <x:c r="C16" s="30"/>
      <x:c r="D16" s="30"/>
      <x:c r="E16" s="30"/>
      <x:c r="F16" s="30"/>
      <x:c r="G16" s="30"/>
      <x:c r="H16" s="30"/>
      <x:c r="I16" s="30"/>
      <x:c r="J16" s="30"/>
    </x:row>
    <x:row r="17">
      <x:c r="A17" s="30"/>
      <x:c r="B17" s="30"/>
      <x:c r="C17" s="30"/>
      <x:c r="D17" s="30"/>
      <x:c r="E17" s="30"/>
      <x:c r="F17" s="30"/>
      <x:c r="G17" s="30"/>
      <x:c r="H17" s="30"/>
      <x:c r="I17" s="30"/>
      <x:c r="J17" s="30"/>
    </x:row>
    <x:row r="18">
      <x:c r="A18" s="30"/>
      <x:c r="B18" s="30"/>
      <x:c r="C18" s="30"/>
      <x:c r="D18" s="30"/>
      <x:c r="E18" s="30"/>
      <x:c r="F18" s="30"/>
      <x:c r="G18" s="30"/>
      <x:c r="H18" s="30"/>
      <x:c r="I18" s="30"/>
      <x:c r="J18" s="30"/>
    </x:row>
    <x:row r="19">
      <x:c r="A19" s="41" t="str">
        <x:v>Month</x:v>
      </x:c>
      <x:c r="B19" s="41" t="str">
        <x:v>Revenue</x:v>
      </x:c>
      <x:c r="C19" s="41" t="str">
        <x:v>Orders</x:v>
      </x:c>
      <x:c r="D19" s="30"/>
      <x:c r="E19" s="30"/>
      <x:c r="F19" s="30"/>
      <x:c r="G19" s="30"/>
      <x:c r="H19" s="30"/>
      <x:c r="I19" s="30"/>
      <x:c r="J19" s="30"/>
    </x:row>
    <x:row r="20">
      <x:c r="A20" s="30" t="str">
        <x:v>Jan</x:v>
      </x:c>
      <x:c r="B20" s="45" t="n">
        <x:f>SUMIF('Order Data'!$C$2:$C$241,A20,'Order Data'!$I$2:$I$241)</x:f>
        <x:v>3730</x:v>
      </x:c>
      <x:c r="C20" s="30" t="n">
        <x:f>COUNTIF('Order Data'!$C$2:$C$241,A20)</x:f>
        <x:v>20</x:v>
      </x:c>
      <x:c r="D20" s="30"/>
      <x:c r="E20" s="30"/>
      <x:c r="F20" s="30"/>
      <x:c r="G20" s="30"/>
      <x:c r="H20" s="30"/>
      <x:c r="I20" s="30"/>
      <x:c r="J20" s="30"/>
    </x:row>
    <x:row r="21">
      <x:c r="A21" s="30" t="str">
        <x:v>Feb</x:v>
      </x:c>
      <x:c r="B21" s="45" t="n">
        <x:f>SUMIF('Order Data'!$C$2:$C$241,A21,'Order Data'!$I$2:$I$241)</x:f>
        <x:v>7204</x:v>
      </x:c>
      <x:c r="C21" s="30" t="n">
        <x:f>COUNTIF('Order Data'!$C$2:$C$241,A21)</x:f>
        <x:v>20</x:v>
      </x:c>
      <x:c r="D21" s="30"/>
      <x:c r="E21" s="30"/>
      <x:c r="F21" s="30"/>
      <x:c r="G21" s="30"/>
      <x:c r="H21" s="30"/>
      <x:c r="I21" s="30"/>
      <x:c r="J21" s="30"/>
    </x:row>
    <x:row r="22">
      <x:c r="A22" s="30" t="str">
        <x:v>Mar</x:v>
      </x:c>
      <x:c r="B22" s="45" t="n">
        <x:f>SUMIF('Order Data'!$C$2:$C$241,A22,'Order Data'!$I$2:$I$241)</x:f>
        <x:v>5536</x:v>
      </x:c>
      <x:c r="C22" s="30" t="n">
        <x:f>COUNTIF('Order Data'!$C$2:$C$241,A22)</x:f>
        <x:v>20</x:v>
      </x:c>
      <x:c r="D22" s="30"/>
      <x:c r="E22" s="30"/>
      <x:c r="F22" s="30"/>
      <x:c r="G22" s="30"/>
      <x:c r="H22" s="30"/>
      <x:c r="I22" s="30"/>
      <x:c r="J22" s="30"/>
    </x:row>
    <x:row r="23">
      <x:c r="A23" s="30" t="str">
        <x:v>Apr</x:v>
      </x:c>
      <x:c r="B23" s="45" t="n">
        <x:f>SUMIF('Order Data'!$C$2:$C$241,A23,'Order Data'!$I$2:$I$241)</x:f>
        <x:v>4476</x:v>
      </x:c>
      <x:c r="C23" s="30" t="n">
        <x:f>COUNTIF('Order Data'!$C$2:$C$241,A23)</x:f>
        <x:v>20</x:v>
      </x:c>
      <x:c r="D23" s="30"/>
      <x:c r="E23" s="30"/>
      <x:c r="F23" s="30"/>
      <x:c r="G23" s="30"/>
      <x:c r="H23" s="30"/>
      <x:c r="I23" s="30"/>
      <x:c r="J23" s="30"/>
    </x:row>
    <x:row r="24">
      <x:c r="A24" s="30" t="str">
        <x:v>May</x:v>
      </x:c>
      <x:c r="B24" s="45" t="n">
        <x:f>SUMIF('Order Data'!$C$2:$C$241,A24,'Order Data'!$I$2:$I$241)</x:f>
        <x:v>3540</x:v>
      </x:c>
      <x:c r="C24" s="30" t="n">
        <x:f>COUNTIF('Order Data'!$C$2:$C$241,A24)</x:f>
        <x:v>20</x:v>
      </x:c>
      <x:c r="D24" s="30"/>
      <x:c r="E24" s="30"/>
      <x:c r="F24" s="30"/>
      <x:c r="G24" s="30"/>
      <x:c r="H24" s="30"/>
      <x:c r="I24" s="30"/>
      <x:c r="J24" s="30"/>
    </x:row>
    <x:row r="25">
      <x:c r="A25" s="30" t="str">
        <x:v>Jun</x:v>
      </x:c>
      <x:c r="B25" s="45" t="n">
        <x:f>SUMIF('Order Data'!$C$2:$C$241,A25,'Order Data'!$I$2:$I$241)</x:f>
        <x:v>6684</x:v>
      </x:c>
      <x:c r="C25" s="30" t="n">
        <x:f>COUNTIF('Order Data'!$C$2:$C$241,A25)</x:f>
        <x:v>20</x:v>
      </x:c>
      <x:c r="D25" s="30"/>
      <x:c r="E25" s="30"/>
      <x:c r="F25" s="30"/>
      <x:c r="G25" s="30"/>
      <x:c r="H25" s="30"/>
      <x:c r="I25" s="30"/>
      <x:c r="J25" s="30"/>
    </x:row>
    <x:row r="26">
      <x:c r="A26" s="30" t="str">
        <x:v>Jul</x:v>
      </x:c>
      <x:c r="B26" s="45" t="n">
        <x:f>SUMIF('Order Data'!$C$2:$C$241,A26,'Order Data'!$I$2:$I$241)</x:f>
        <x:v>5946</x:v>
      </x:c>
      <x:c r="C26" s="30" t="n">
        <x:f>COUNTIF('Order Data'!$C$2:$C$241,A26)</x:f>
        <x:v>20</x:v>
      </x:c>
      <x:c r="D26" s="30"/>
      <x:c r="E26" s="30"/>
      <x:c r="F26" s="30"/>
      <x:c r="G26" s="30"/>
      <x:c r="H26" s="30"/>
      <x:c r="I26" s="30"/>
      <x:c r="J26" s="30"/>
    </x:row>
    <x:row r="27">
      <x:c r="A27" s="30" t="str">
        <x:v>Aug</x:v>
      </x:c>
      <x:c r="B27" s="45" t="n">
        <x:f>SUMIF('Order Data'!$C$2:$C$241,A27,'Order Data'!$I$2:$I$241)</x:f>
        <x:v>4776</x:v>
      </x:c>
      <x:c r="C27" s="30" t="n">
        <x:f>COUNTIF('Order Data'!$C$2:$C$241,A27)</x:f>
        <x:v>20</x:v>
      </x:c>
      <x:c r="D27" s="30"/>
      <x:c r="E27" s="30"/>
      <x:c r="F27" s="30"/>
      <x:c r="G27" s="30"/>
      <x:c r="H27" s="30"/>
      <x:c r="I27" s="30"/>
      <x:c r="J27" s="30"/>
    </x:row>
    <x:row r="28">
      <x:c r="A28" s="30" t="str">
        <x:v>Sep</x:v>
      </x:c>
      <x:c r="B28" s="45" t="n">
        <x:f>SUMIF('Order Data'!$C$2:$C$241,A28,'Order Data'!$I$2:$I$241)</x:f>
        <x:v>3309</x:v>
      </x:c>
      <x:c r="C28" s="30" t="n">
        <x:f>COUNTIF('Order Data'!$C$2:$C$241,A28)</x:f>
        <x:v>20</x:v>
      </x:c>
      <x:c r="D28" s="30"/>
      <x:c r="E28" s="30"/>
      <x:c r="F28" s="30"/>
      <x:c r="G28" s="30"/>
      <x:c r="H28" s="30"/>
      <x:c r="I28" s="30"/>
      <x:c r="J28" s="30"/>
    </x:row>
    <x:row r="29">
      <x:c r="A29" s="30" t="str">
        <x:v>Oct</x:v>
      </x:c>
      <x:c r="B29" s="45" t="n">
        <x:f>SUMIF('Order Data'!$C$2:$C$241,A29,'Order Data'!$I$2:$I$241)</x:f>
        <x:v>6568</x:v>
      </x:c>
      <x:c r="C29" s="30" t="n">
        <x:f>COUNTIF('Order Data'!$C$2:$C$241,A29)</x:f>
        <x:v>20</x:v>
      </x:c>
      <x:c r="D29" s="30"/>
      <x:c r="E29" s="30"/>
      <x:c r="F29" s="30"/>
      <x:c r="G29" s="30"/>
      <x:c r="H29" s="30"/>
      <x:c r="I29" s="30"/>
      <x:c r="J29" s="30"/>
    </x:row>
    <x:row r="30">
      <x:c r="A30" s="30" t="str">
        <x:v>Nov</x:v>
      </x:c>
      <x:c r="B30" s="45" t="n">
        <x:f>SUMIF('Order Data'!$C$2:$C$241,A30,'Order Data'!$I$2:$I$241)</x:f>
        <x:v>5612</x:v>
      </x:c>
      <x:c r="C30" s="30" t="n">
        <x:f>COUNTIF('Order Data'!$C$2:$C$241,A30)</x:f>
        <x:v>20</x:v>
      </x:c>
      <x:c r="D30" s="30"/>
      <x:c r="E30" s="30"/>
      <x:c r="F30" s="30"/>
      <x:c r="G30" s="30"/>
      <x:c r="H30" s="30"/>
      <x:c r="I30" s="30"/>
      <x:c r="J30" s="30"/>
    </x:row>
    <x:row r="31">
      <x:c r="A31" s="30" t="str">
        <x:v>Dec</x:v>
      </x:c>
      <x:c r="B31" s="45" t="n">
        <x:f>SUMIF('Order Data'!$C$2:$C$241,A31,'Order Data'!$I$2:$I$241)</x:f>
        <x:v>4946</x:v>
      </x:c>
      <x:c r="C31" s="30" t="n">
        <x:f>COUNTIF('Order Data'!$C$2:$C$241,A31)</x:f>
        <x:v>20</x:v>
      </x:c>
      <x:c r="D31" s="30"/>
      <x:c r="E31" s="30"/>
      <x:c r="F31" s="30"/>
      <x:c r="G31" s="30"/>
      <x:c r="H31" s="30"/>
      <x:c r="I31" s="30"/>
      <x:c r="J31" s="30"/>
    </x:row>
  </x:sheetData>
  <x:mergeCells>
    <x:mergeCell ref="A1:J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</x:cols>
  <x:sheetData>
    <x:row r="1" ht="36" customHeight="1">
      <x:c r="A1" s="48" t="str">
        <x:v>Retail Operations Performance Dashboard</x:v>
      </x:c>
      <x:c r="B1" s="48"/>
      <x:c r="C1" s="48"/>
      <x:c r="D1" s="48"/>
      <x:c r="E1" s="48"/>
      <x:c r="F1" s="48"/>
      <x:c r="G1" s="48"/>
      <x:c r="H1" s="48"/>
      <x:c r="I1" s="48"/>
      <x:c r="J1" s="48"/>
      <x:c r="K1" s="48"/>
      <x:c r="L1" s="48"/>
    </x:row>
    <x:row r="3">
      <x:c r="A3" s="60" t="n">
        <x:f>'Analysis'!B4</x:f>
        <x:v>62327</x:v>
      </x:c>
      <x:c r="B3" s="61"/>
      <x:c r="D3" s="60" t="n">
        <x:f>'Analysis'!B5</x:f>
        <x:v>17555.77</x:v>
      </x:c>
      <x:c r="E3" s="61"/>
      <x:c r="G3" s="68" t="n">
        <x:f>'Analysis'!B6</x:f>
        <x:v>240</x:v>
      </x:c>
      <x:c r="H3" s="61"/>
      <x:c r="J3" s="73" t="n">
        <x:f>'Analysis'!B8</x:f>
        <x:v>0.5</x:v>
      </x:c>
      <x:c r="K3" s="61"/>
    </x:row>
    <x:row r="4">
      <x:c r="A4" s="62"/>
      <x:c r="B4" s="63"/>
      <x:c r="D4" s="62"/>
      <x:c r="E4" s="63"/>
      <x:c r="G4" s="62"/>
      <x:c r="H4" s="63"/>
      <x:c r="J4" s="62"/>
      <x:c r="K4" s="63"/>
    </x:row>
    <x:row r="5">
      <x:c r="A5" s="74" t="str">
        <x:v>Revenue</x:v>
      </x:c>
      <x:c r="B5" s="74"/>
      <x:c r="D5" s="74" t="str">
        <x:v>Profit</x:v>
      </x:c>
      <x:c r="E5" s="74"/>
      <x:c r="G5" s="74" t="str">
        <x:v>Orders</x:v>
      </x:c>
      <x:c r="H5" s="74"/>
      <x:c r="J5" s="74" t="str">
        <x:v>On-time rate</x:v>
      </x:c>
      <x:c r="K5" s="74"/>
    </x:row>
    <x:row r="8">
      <x:c r="A8" s="36" t="str">
        <x:f>'Analysis'!A11</x:f>
        <x:v>Region</x:v>
      </x:c>
      <x:c r="B8" s="36" t="str">
        <x:f>'Analysis'!B11</x:f>
        <x:v>Revenue</x:v>
      </x:c>
      <x:c r="C8" s="36" t="str">
        <x:f>'Analysis'!C11</x:f>
        <x:v>Profit</x:v>
      </x:c>
    </x:row>
    <x:row r="9">
      <x:c r="A9" t="str">
        <x:f>'Analysis'!A12</x:f>
        <x:v>East Midlands</x:v>
      </x:c>
      <x:c r="B9" s="39" t="n">
        <x:f>'Analysis'!B12</x:f>
        <x:v>13820</x:v>
      </x:c>
      <x:c r="C9" s="39" t="n">
        <x:f>'Analysis'!C12</x:f>
        <x:v>3854.67</x:v>
      </x:c>
    </x:row>
    <x:row r="10">
      <x:c r="A10" t="str">
        <x:f>'Analysis'!A13</x:f>
        <x:v>West Midlands</x:v>
      </x:c>
      <x:c r="B10" s="39" t="n">
        <x:f>'Analysis'!B13</x:f>
        <x:v>17139</x:v>
      </x:c>
      <x:c r="C10" s="39" t="n">
        <x:f>'Analysis'!C13</x:f>
        <x:v>4801.66</x:v>
      </x:c>
    </x:row>
    <x:row r="11">
      <x:c r="A11" t="str">
        <x:f>'Analysis'!A14</x:f>
        <x:v>London</x:v>
      </x:c>
      <x:c r="B11" s="39" t="n">
        <x:f>'Analysis'!B14</x:f>
        <x:v>14264</x:v>
      </x:c>
      <x:c r="C11" s="39" t="n">
        <x:f>'Analysis'!C14</x:f>
        <x:v>4108.13</x:v>
      </x:c>
    </x:row>
    <x:row r="12">
      <x:c r="A12" t="str">
        <x:f>'Analysis'!A15</x:f>
        <x:v>North West</x:v>
      </x:c>
      <x:c r="B12" s="39" t="n">
        <x:f>'Analysis'!B15</x:f>
        <x:v>17104</x:v>
      </x:c>
      <x:c r="C12" s="39" t="n">
        <x:f>'Analysis'!C15</x:f>
        <x:v>4791.31</x:v>
      </x:c>
    </x:row>
    <x:row r="13">
      <x:c r="B13" s="39"/>
      <x:c r="C13" s="39"/>
    </x:row>
    <x:row r="16">
      <x:c r="A16" s="36" t="str">
        <x:f>'Analysis'!E11</x:f>
        <x:v>Category</x:v>
      </x:c>
      <x:c r="B16" s="36" t="str">
        <x:f>'Analysis'!F11</x:f>
        <x:v>Revenue</x:v>
      </x:c>
      <x:c r="C16" s="36" t="str">
        <x:f>'Analysis'!G11</x:f>
        <x:v>Profit</x:v>
      </x:c>
      <x:c r="D16" s="36" t="str">
        <x:f>'Analysis'!H11</x:f>
        <x:v>Return Rate</x:v>
      </x:c>
      <x:c r="F16" s="18" t="str">
        <x:v>Initial recommendations</x:v>
      </x:c>
      <x:c r="G16" s="18"/>
      <x:c r="H16" s="18"/>
      <x:c r="I16" s="18"/>
      <x:c r="J16" s="18"/>
      <x:c r="K16" s="18"/>
      <x:c r="L16" s="18"/>
    </x:row>
    <x:row r="17">
      <x:c r="A17" t="str">
        <x:f>'Analysis'!E12</x:f>
        <x:v>Electronics</x:v>
      </x:c>
      <x:c r="B17" s="39" t="n">
        <x:f>'Analysis'!F12</x:f>
        <x:v>23155</x:v>
      </x:c>
      <x:c r="C17" s="39" t="n">
        <x:f>'Analysis'!G12</x:f>
        <x:v>5094.1</x:v>
      </x:c>
      <x:c r="D17" s="38" t="n">
        <x:f>'Analysis'!H12</x:f>
        <x:v>0.06666666666666667</x:v>
      </x:c>
      <x:c r="F17" s="75" t="str">
        <x:v>1. Investigate late deliveries by region and channel.
2. Review high-return categories alongside customer ratings.
3. Prioritise profitable categories while protecting service levels.
4. Rebuild these visuals in Power BI during the next stage.</x:v>
      </x:c>
      <x:c r="G17" s="75"/>
      <x:c r="H17" s="75"/>
      <x:c r="I17" s="75"/>
      <x:c r="J17" s="75"/>
      <x:c r="K17" s="75"/>
      <x:c r="L17" s="75"/>
    </x:row>
    <x:row r="18">
      <x:c r="A18" t="str">
        <x:f>'Analysis'!E13</x:f>
        <x:v>Home &amp; Kitchen</x:v>
      </x:c>
      <x:c r="B18" s="39" t="n">
        <x:f>'Analysis'!F13</x:f>
        <x:v>14306</x:v>
      </x:c>
      <x:c r="C18" s="39" t="n">
        <x:f>'Analysis'!G13</x:f>
        <x:v>4434.86</x:v>
      </x:c>
      <x:c r="D18" s="38" t="n">
        <x:f>'Analysis'!H13</x:f>
        <x:v>0.08333333333333333</x:v>
      </x:c>
      <x:c r="F18" s="75"/>
      <x:c r="G18" s="75"/>
      <x:c r="H18" s="75"/>
      <x:c r="I18" s="75"/>
      <x:c r="J18" s="75"/>
      <x:c r="K18" s="75"/>
      <x:c r="L18" s="75"/>
    </x:row>
    <x:row r="19">
      <x:c r="A19" t="str">
        <x:f>'Analysis'!E14</x:f>
        <x:v>Office Supplies</x:v>
      </x:c>
      <x:c r="B19" s="39" t="n">
        <x:f>'Analysis'!F14</x:f>
        <x:v>9063</x:v>
      </x:c>
      <x:c r="C19" s="39" t="n">
        <x:f>'Analysis'!G14</x:f>
        <x:v>3443.94</x:v>
      </x:c>
      <x:c r="D19" s="38" t="n">
        <x:f>'Analysis'!H14</x:f>
        <x:v>0.03333333333333333</x:v>
      </x:c>
      <x:c r="F19" s="75"/>
      <x:c r="G19" s="75"/>
      <x:c r="H19" s="75"/>
      <x:c r="I19" s="75"/>
      <x:c r="J19" s="75"/>
      <x:c r="K19" s="75"/>
      <x:c r="L19" s="75"/>
    </x:row>
    <x:row r="20">
      <x:c r="A20" t="str">
        <x:f>'Analysis'!E15</x:f>
        <x:v>Sports</x:v>
      </x:c>
      <x:c r="B20" s="39" t="n">
        <x:f>'Analysis'!F15</x:f>
        <x:v>15803</x:v>
      </x:c>
      <x:c r="C20" s="39" t="n">
        <x:f>'Analysis'!G15</x:f>
        <x:v>4582.87</x:v>
      </x:c>
      <x:c r="D20" s="38" t="n">
        <x:f>'Analysis'!H15</x:f>
        <x:v>0.06666666666666667</x:v>
      </x:c>
      <x:c r="F20" s="75"/>
      <x:c r="G20" s="75"/>
      <x:c r="H20" s="75"/>
      <x:c r="I20" s="75"/>
      <x:c r="J20" s="75"/>
      <x:c r="K20" s="75"/>
      <x:c r="L20" s="75"/>
    </x:row>
    <x:row r="21">
      <x:c r="F21" s="75"/>
      <x:c r="G21" s="75"/>
      <x:c r="H21" s="75"/>
      <x:c r="I21" s="75"/>
      <x:c r="J21" s="75"/>
      <x:c r="K21" s="75"/>
      <x:c r="L21" s="75"/>
    </x:row>
  </x:sheetData>
  <x:mergeCells>
    <x:mergeCell ref="A1:L1"/>
    <x:mergeCell ref="A3:B4"/>
    <x:mergeCell ref="D3:E4"/>
    <x:mergeCell ref="G3:H4"/>
    <x:mergeCell ref="J3:K4"/>
    <x:mergeCell ref="A5:B5"/>
    <x:mergeCell ref="D5:E5"/>
    <x:mergeCell ref="G5:H5"/>
    <x:mergeCell ref="J5:K5"/>
    <x:mergeCell ref="F16:L16"/>
    <x:mergeCell ref="F17:L21"/>
  </x:mergeCells>
  <x:pageMargins left="0.7" right="0.7" top="0.75" bottom="0.75" header="0.3" footer="0.3"/>
  <x:drawing xmlns:r="http://schemas.openxmlformats.org/officeDocument/2006/relationships" r:id="R331320c5d8b34b3d"/>
</x:worksheet>
</file>